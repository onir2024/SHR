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att-my.sharepoint.com/personal/sk7567_att_com/Documents/PersonalShareData/temp_OLD/lightspeed/CORAL springs/190305/"/>
    </mc:Choice>
  </mc:AlternateContent>
  <xr:revisionPtr revIDLastSave="452" documentId="8_{B6E92B78-4A41-47A1-8978-49F47C679800}" xr6:coauthVersionLast="47" xr6:coauthVersionMax="47" xr10:uidLastSave="{E0FB912E-AD0B-419A-AAD0-8CE092C9FCCA}"/>
  <bookViews>
    <workbookView xWindow="-120" yWindow="-120" windowWidth="19440" windowHeight="14880" firstSheet="1" activeTab="2" xr2:uid="{00000000-000D-0000-FFFF-FFFF00000000}"/>
  </bookViews>
  <sheets>
    <sheet name="External PFPs" sheetId="1" state="hidden" r:id="rId1"/>
    <sheet name="Instructions" sheetId="5" r:id="rId2"/>
    <sheet name="PFP Sizing Sheet" sheetId="11" r:id="rId3"/>
    <sheet name="QTC Costs" sheetId="16" state="hidden" r:id="rId4"/>
    <sheet name="Rest Trust Settings Instruction" sheetId="17" r:id="rId5"/>
    <sheet name="Version Info" sheetId="6" r:id="rId6"/>
    <sheet name="Optical Budget Diagram" sheetId="9" r:id="rId7"/>
    <sheet name="XGSPON Budget Calculator" sheetId="14" r:id="rId8"/>
    <sheet name="GPON Budget Calculator" sheetId="15" r:id="rId9"/>
    <sheet name="XGSPON Budget Calculator (old)" sheetId="12" state="hidden" r:id="rId10"/>
    <sheet name="GPON Budget Calculator (old)" sheetId="13" state="hidden" r:id="rId11"/>
    <sheet name="PFP Sizing Chart" sheetId="7" r:id="rId12"/>
  </sheets>
  <definedNames>
    <definedName name="_xlnm._FilterDatabase" localSheetId="11" hidden="1">'PFP Sizing Chart'!$A$2:$S$59</definedName>
    <definedName name="_xlnm._FilterDatabase" localSheetId="2" hidden="1">'PFP Sizing Sheet'!$A$1:$I$18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1" i="11" l="1"/>
  <c r="B9" i="15"/>
  <c r="B9" i="14"/>
  <c r="B8" i="15"/>
  <c r="B8" i="14"/>
  <c r="I28" i="14"/>
  <c r="H28" i="14"/>
  <c r="I27" i="14"/>
  <c r="H27" i="14"/>
  <c r="I26" i="14"/>
  <c r="H26" i="14"/>
  <c r="I25" i="14"/>
  <c r="H25" i="14"/>
  <c r="I23" i="14"/>
  <c r="H23" i="14"/>
  <c r="I21" i="14"/>
  <c r="H21" i="14"/>
  <c r="I20" i="14"/>
  <c r="H20" i="14"/>
  <c r="I18" i="14"/>
  <c r="H18" i="14"/>
  <c r="I17" i="14"/>
  <c r="I16" i="14"/>
  <c r="H16" i="14"/>
  <c r="I15" i="14"/>
  <c r="H15" i="14"/>
  <c r="I10" i="14"/>
  <c r="H10" i="14"/>
  <c r="I7" i="14"/>
  <c r="H7" i="14"/>
  <c r="I6" i="14"/>
  <c r="H6" i="14"/>
  <c r="D1" i="16"/>
  <c r="C1" i="16"/>
  <c r="B1" i="16"/>
  <c r="D4" i="16"/>
  <c r="C4" i="16"/>
  <c r="C16" i="16" s="1"/>
  <c r="B4" i="16"/>
  <c r="B16" i="16" s="1"/>
  <c r="D3" i="16"/>
  <c r="C3" i="16"/>
  <c r="B3" i="16"/>
  <c r="B24" i="16" s="1"/>
  <c r="B26" i="16" s="1"/>
  <c r="D8" i="16" l="1"/>
  <c r="D10" i="16" s="1"/>
  <c r="D23" i="16" s="1"/>
  <c r="C8" i="16"/>
  <c r="C10" i="16" s="1"/>
  <c r="C19" i="16" s="1"/>
  <c r="C21" i="16" s="1"/>
  <c r="D16" i="16"/>
  <c r="D24" i="16"/>
  <c r="D26" i="16" s="1"/>
  <c r="C24" i="16"/>
  <c r="C26" i="16" s="1"/>
  <c r="B8" i="16"/>
  <c r="B10" i="16" s="1"/>
  <c r="B31" i="16" s="1"/>
  <c r="B33" i="16" s="1"/>
  <c r="D29" i="16" l="1"/>
  <c r="D19" i="16"/>
  <c r="D21" i="16" s="1"/>
  <c r="D35" i="16"/>
  <c r="D36" i="16" s="1"/>
  <c r="D38" i="16" s="1"/>
  <c r="D31" i="16"/>
  <c r="D33" i="16" s="1"/>
  <c r="D15" i="16"/>
  <c r="D17" i="16" s="1"/>
  <c r="C35" i="16"/>
  <c r="C36" i="16" s="1"/>
  <c r="C38" i="16" s="1"/>
  <c r="C15" i="16"/>
  <c r="C17" i="16" s="1"/>
  <c r="C23" i="16"/>
  <c r="C29" i="16" s="1"/>
  <c r="C31" i="16"/>
  <c r="C33" i="16" s="1"/>
  <c r="B19" i="16"/>
  <c r="B21" i="16" s="1"/>
  <c r="B35" i="16"/>
  <c r="B36" i="16" s="1"/>
  <c r="B38" i="16" s="1"/>
  <c r="B15" i="16"/>
  <c r="B17" i="16" s="1"/>
  <c r="B23" i="16"/>
  <c r="B29" i="16" s="1"/>
  <c r="D41" i="16" l="1"/>
  <c r="C41" i="16"/>
  <c r="B41" i="16"/>
  <c r="E33" i="11"/>
  <c r="E23" i="11"/>
  <c r="E22" i="11"/>
  <c r="E41" i="11"/>
  <c r="E46" i="11" l="1"/>
  <c r="E56" i="11" l="1"/>
  <c r="E32" i="11"/>
  <c r="E42" i="11"/>
  <c r="E37" i="11"/>
  <c r="C36" i="11"/>
  <c r="E36" i="11" s="1"/>
  <c r="C35" i="11"/>
  <c r="E35" i="11" s="1"/>
  <c r="C34" i="11"/>
  <c r="E34" i="11" s="1"/>
  <c r="E28" i="11"/>
  <c r="E27" i="11"/>
  <c r="E47" i="11" l="1"/>
  <c r="C39" i="13"/>
  <c r="B39" i="13"/>
  <c r="C38" i="13"/>
  <c r="B38" i="13"/>
  <c r="C29" i="13"/>
  <c r="C27" i="13"/>
  <c r="G24" i="13"/>
  <c r="F24" i="13"/>
  <c r="E24" i="13"/>
  <c r="D24" i="13"/>
  <c r="G23" i="13"/>
  <c r="F23" i="13"/>
  <c r="E23" i="13"/>
  <c r="D23" i="13"/>
  <c r="G22" i="13"/>
  <c r="F22" i="13"/>
  <c r="E22" i="13"/>
  <c r="D22" i="13"/>
  <c r="G21" i="13"/>
  <c r="F21" i="13"/>
  <c r="E21" i="13"/>
  <c r="D21" i="13"/>
  <c r="G19" i="13"/>
  <c r="F19" i="13"/>
  <c r="E19" i="13"/>
  <c r="D19" i="13"/>
  <c r="B18" i="13"/>
  <c r="B20" i="13" s="1"/>
  <c r="G17" i="13"/>
  <c r="F17" i="13"/>
  <c r="E17" i="13"/>
  <c r="D17" i="13"/>
  <c r="G16" i="13"/>
  <c r="F16" i="13"/>
  <c r="E16" i="13"/>
  <c r="D16" i="13"/>
  <c r="C16" i="13"/>
  <c r="G14" i="13"/>
  <c r="F14" i="13"/>
  <c r="E14" i="13"/>
  <c r="D14" i="13"/>
  <c r="G13" i="13"/>
  <c r="E13" i="13"/>
  <c r="G12" i="13"/>
  <c r="F12" i="13"/>
  <c r="E12" i="13"/>
  <c r="D12" i="13"/>
  <c r="C12" i="13"/>
  <c r="G11" i="13"/>
  <c r="F11" i="13"/>
  <c r="E11" i="13"/>
  <c r="D11" i="13"/>
  <c r="C11" i="13"/>
  <c r="G9" i="13"/>
  <c r="F9" i="13"/>
  <c r="E9" i="13"/>
  <c r="D9" i="13"/>
  <c r="G8" i="13"/>
  <c r="F8" i="13"/>
  <c r="E8" i="13"/>
  <c r="D8" i="13"/>
  <c r="G7" i="13"/>
  <c r="F7" i="13"/>
  <c r="E7" i="13"/>
  <c r="D7" i="13"/>
  <c r="G6" i="13"/>
  <c r="F6" i="13"/>
  <c r="E6" i="13"/>
  <c r="D6" i="13"/>
  <c r="G4" i="13"/>
  <c r="F4" i="13"/>
  <c r="E4" i="13"/>
  <c r="D4" i="13"/>
  <c r="C39" i="12"/>
  <c r="B39" i="12"/>
  <c r="C38" i="12"/>
  <c r="B38" i="12"/>
  <c r="C29" i="12"/>
  <c r="C27" i="12"/>
  <c r="G24" i="12"/>
  <c r="F24" i="12"/>
  <c r="E24" i="12"/>
  <c r="D24" i="12"/>
  <c r="G23" i="12"/>
  <c r="F23" i="12"/>
  <c r="E23" i="12"/>
  <c r="D23" i="12"/>
  <c r="G22" i="12"/>
  <c r="F22" i="12"/>
  <c r="E22" i="12"/>
  <c r="D22" i="12"/>
  <c r="G21" i="12"/>
  <c r="F21" i="12"/>
  <c r="E21" i="12"/>
  <c r="D21" i="12"/>
  <c r="G19" i="12"/>
  <c r="F19" i="12"/>
  <c r="E19" i="12"/>
  <c r="D19" i="12"/>
  <c r="B18" i="12"/>
  <c r="E18" i="12" s="1"/>
  <c r="G17" i="12"/>
  <c r="F17" i="12"/>
  <c r="E17" i="12"/>
  <c r="D17" i="12"/>
  <c r="G16" i="12"/>
  <c r="F16" i="12"/>
  <c r="E16" i="12"/>
  <c r="D16" i="12"/>
  <c r="C16" i="12"/>
  <c r="G14" i="12"/>
  <c r="F14" i="12"/>
  <c r="E14" i="12"/>
  <c r="D14" i="12"/>
  <c r="G13" i="12"/>
  <c r="E13" i="12"/>
  <c r="G12" i="12"/>
  <c r="F12" i="12"/>
  <c r="E12" i="12"/>
  <c r="D12" i="12"/>
  <c r="C12" i="12"/>
  <c r="G11" i="12"/>
  <c r="F11" i="12"/>
  <c r="E11" i="12"/>
  <c r="D11" i="12"/>
  <c r="C11" i="12"/>
  <c r="G9" i="12"/>
  <c r="F9" i="12"/>
  <c r="E9" i="12"/>
  <c r="D9" i="12"/>
  <c r="G8" i="12"/>
  <c r="F8" i="12"/>
  <c r="E8" i="12"/>
  <c r="D8" i="12"/>
  <c r="G7" i="12"/>
  <c r="F7" i="12"/>
  <c r="E7" i="12"/>
  <c r="D7" i="12"/>
  <c r="G6" i="12"/>
  <c r="F6" i="12"/>
  <c r="E6" i="12"/>
  <c r="D6" i="12"/>
  <c r="G4" i="12"/>
  <c r="F4" i="12"/>
  <c r="E4" i="12"/>
  <c r="C43" i="15"/>
  <c r="B43" i="15"/>
  <c r="C42" i="15"/>
  <c r="B42" i="15"/>
  <c r="C33" i="15"/>
  <c r="C31" i="15"/>
  <c r="G28" i="15"/>
  <c r="F28" i="15"/>
  <c r="E28" i="15"/>
  <c r="D28" i="15"/>
  <c r="G27" i="15"/>
  <c r="F27" i="15"/>
  <c r="E27" i="15"/>
  <c r="D27" i="15"/>
  <c r="G26" i="15"/>
  <c r="F26" i="15"/>
  <c r="E26" i="15"/>
  <c r="D26" i="15"/>
  <c r="G25" i="15"/>
  <c r="F25" i="15"/>
  <c r="E25" i="15"/>
  <c r="D25" i="15"/>
  <c r="G23" i="15"/>
  <c r="F23" i="15"/>
  <c r="E23" i="15"/>
  <c r="D23" i="15"/>
  <c r="B22" i="15"/>
  <c r="E22" i="15" s="1"/>
  <c r="G21" i="15"/>
  <c r="F21" i="15"/>
  <c r="E21" i="15"/>
  <c r="D21" i="15"/>
  <c r="G20" i="15"/>
  <c r="F20" i="15"/>
  <c r="E20" i="15"/>
  <c r="D20" i="15"/>
  <c r="C20" i="15"/>
  <c r="G18" i="15"/>
  <c r="F18" i="15"/>
  <c r="E18" i="15"/>
  <c r="D18" i="15"/>
  <c r="G17" i="15"/>
  <c r="E17" i="15"/>
  <c r="G16" i="15"/>
  <c r="F16" i="15"/>
  <c r="E16" i="15"/>
  <c r="D16" i="15"/>
  <c r="C16" i="15"/>
  <c r="G15" i="15"/>
  <c r="F15" i="15"/>
  <c r="E15" i="15"/>
  <c r="D15" i="15"/>
  <c r="C15" i="15"/>
  <c r="B14" i="15"/>
  <c r="E14" i="15" s="1"/>
  <c r="B13" i="15"/>
  <c r="D13" i="15" s="1"/>
  <c r="B12" i="15"/>
  <c r="G12" i="15" s="1"/>
  <c r="G10" i="15"/>
  <c r="F10" i="15"/>
  <c r="E10" i="15"/>
  <c r="D10" i="15"/>
  <c r="G9" i="15"/>
  <c r="D8" i="15"/>
  <c r="G7" i="15"/>
  <c r="F7" i="15"/>
  <c r="E7" i="15"/>
  <c r="D7" i="15"/>
  <c r="G6" i="15"/>
  <c r="F6" i="15"/>
  <c r="E6" i="15"/>
  <c r="D6" i="15"/>
  <c r="G4" i="15"/>
  <c r="F4" i="15"/>
  <c r="E4" i="15"/>
  <c r="D4" i="15"/>
  <c r="E43" i="14"/>
  <c r="D43" i="14"/>
  <c r="C43" i="14"/>
  <c r="B43" i="14"/>
  <c r="E42" i="14"/>
  <c r="D42" i="14"/>
  <c r="C42" i="14"/>
  <c r="B42" i="14"/>
  <c r="C33" i="14"/>
  <c r="C31" i="14"/>
  <c r="G28" i="14"/>
  <c r="F28" i="14"/>
  <c r="E28" i="14"/>
  <c r="D28" i="14"/>
  <c r="G27" i="14"/>
  <c r="F27" i="14"/>
  <c r="E27" i="14"/>
  <c r="D27" i="14"/>
  <c r="G26" i="14"/>
  <c r="F26" i="14"/>
  <c r="E26" i="14"/>
  <c r="D26" i="14"/>
  <c r="G25" i="14"/>
  <c r="F25" i="14"/>
  <c r="E25" i="14"/>
  <c r="D25" i="14"/>
  <c r="G23" i="14"/>
  <c r="F23" i="14"/>
  <c r="E23" i="14"/>
  <c r="D23" i="14"/>
  <c r="B22" i="14"/>
  <c r="G21" i="14"/>
  <c r="F21" i="14"/>
  <c r="E21" i="14"/>
  <c r="D21" i="14"/>
  <c r="G20" i="14"/>
  <c r="F20" i="14"/>
  <c r="E20" i="14"/>
  <c r="D20" i="14"/>
  <c r="C20" i="14"/>
  <c r="G18" i="14"/>
  <c r="F18" i="14"/>
  <c r="E18" i="14"/>
  <c r="D18" i="14"/>
  <c r="G17" i="14"/>
  <c r="E17" i="14"/>
  <c r="G16" i="14"/>
  <c r="F16" i="14"/>
  <c r="E16" i="14"/>
  <c r="D16" i="14"/>
  <c r="C16" i="14"/>
  <c r="G15" i="14"/>
  <c r="F15" i="14"/>
  <c r="E15" i="14"/>
  <c r="D15" i="14"/>
  <c r="C15" i="14"/>
  <c r="B14" i="14"/>
  <c r="B13" i="14"/>
  <c r="B12" i="14"/>
  <c r="G10" i="14"/>
  <c r="F10" i="14"/>
  <c r="E10" i="14"/>
  <c r="D10" i="14"/>
  <c r="G7" i="14"/>
  <c r="F7" i="14"/>
  <c r="E7" i="14"/>
  <c r="D7" i="14"/>
  <c r="G6" i="14"/>
  <c r="F6" i="14"/>
  <c r="E6" i="14"/>
  <c r="D6" i="14"/>
  <c r="C4" i="14"/>
  <c r="G4" i="14" s="1"/>
  <c r="E24" i="1"/>
  <c r="E23" i="1"/>
  <c r="E22" i="1"/>
  <c r="E21" i="1"/>
  <c r="E20" i="1"/>
  <c r="E19" i="1"/>
  <c r="E18" i="1"/>
  <c r="E16" i="1"/>
  <c r="E15" i="1"/>
  <c r="E14" i="1"/>
  <c r="E13" i="1"/>
  <c r="C13" i="1"/>
  <c r="E12" i="1"/>
  <c r="C12" i="1"/>
  <c r="E11" i="1"/>
  <c r="E10" i="1"/>
  <c r="E9" i="1"/>
  <c r="E8" i="1"/>
  <c r="E7" i="1"/>
  <c r="E22" i="14" l="1"/>
  <c r="I22" i="14"/>
  <c r="H22" i="14"/>
  <c r="E13" i="14"/>
  <c r="I13" i="14"/>
  <c r="H13" i="14"/>
  <c r="F14" i="14"/>
  <c r="I14" i="14"/>
  <c r="H14" i="14"/>
  <c r="G12" i="14"/>
  <c r="H12" i="14"/>
  <c r="I12" i="14"/>
  <c r="G9" i="14"/>
  <c r="I9" i="14"/>
  <c r="H9" i="14"/>
  <c r="D8" i="14"/>
  <c r="I8" i="14"/>
  <c r="H8" i="14"/>
  <c r="F22" i="14"/>
  <c r="G22" i="14"/>
  <c r="G18" i="13"/>
  <c r="B24" i="14"/>
  <c r="F18" i="12"/>
  <c r="D22" i="14"/>
  <c r="E18" i="13"/>
  <c r="F22" i="15"/>
  <c r="F18" i="13"/>
  <c r="G20" i="13"/>
  <c r="F20" i="13"/>
  <c r="E20" i="13"/>
  <c r="D20" i="13"/>
  <c r="G22" i="15"/>
  <c r="G18" i="12"/>
  <c r="D22" i="15"/>
  <c r="B24" i="15"/>
  <c r="D18" i="12"/>
  <c r="B20" i="12"/>
  <c r="D18" i="13"/>
  <c r="G8" i="14"/>
  <c r="F13" i="14"/>
  <c r="G13" i="14"/>
  <c r="F14" i="15"/>
  <c r="G14" i="15"/>
  <c r="E8" i="14"/>
  <c r="E8" i="15"/>
  <c r="D4" i="14"/>
  <c r="E4" i="14"/>
  <c r="F4" i="14"/>
  <c r="D12" i="14"/>
  <c r="E13" i="15"/>
  <c r="F13" i="15"/>
  <c r="E12" i="14"/>
  <c r="F12" i="14"/>
  <c r="E14" i="14"/>
  <c r="D12" i="15"/>
  <c r="G13" i="15"/>
  <c r="D14" i="14"/>
  <c r="D13" i="14"/>
  <c r="G14" i="14"/>
  <c r="F12" i="15"/>
  <c r="D14" i="15"/>
  <c r="E12" i="15"/>
  <c r="F8" i="15"/>
  <c r="G8" i="15"/>
  <c r="F8" i="14"/>
  <c r="D9" i="14"/>
  <c r="E9" i="14"/>
  <c r="F9" i="14"/>
  <c r="D9" i="15"/>
  <c r="E9" i="15"/>
  <c r="F9" i="15"/>
  <c r="G26" i="13" l="1"/>
  <c r="D24" i="14"/>
  <c r="I24" i="14"/>
  <c r="H24" i="14"/>
  <c r="I30" i="14"/>
  <c r="H30" i="14"/>
  <c r="I4" i="14"/>
  <c r="H4" i="14"/>
  <c r="E26" i="13"/>
  <c r="D26" i="13"/>
  <c r="D27" i="13" s="1"/>
  <c r="E24" i="14"/>
  <c r="E30" i="14" s="1"/>
  <c r="F26" i="13"/>
  <c r="F27" i="13" s="1"/>
  <c r="F24" i="14"/>
  <c r="F30" i="14" s="1"/>
  <c r="G24" i="14"/>
  <c r="D20" i="12"/>
  <c r="D26" i="12" s="1"/>
  <c r="G20" i="12"/>
  <c r="G26" i="12" s="1"/>
  <c r="F20" i="12"/>
  <c r="F26" i="12" s="1"/>
  <c r="E20" i="12"/>
  <c r="E26" i="12" s="1"/>
  <c r="D24" i="15"/>
  <c r="D30" i="15" s="1"/>
  <c r="G24" i="15"/>
  <c r="G30" i="15" s="1"/>
  <c r="F24" i="15"/>
  <c r="F30" i="15" s="1"/>
  <c r="E24" i="15"/>
  <c r="E30" i="15" s="1"/>
  <c r="G30" i="14"/>
  <c r="D30" i="14"/>
  <c r="H31" i="14" l="1"/>
  <c r="I33" i="14" s="1"/>
  <c r="F31" i="15"/>
  <c r="F33" i="15" s="1"/>
  <c r="F27" i="12"/>
  <c r="E28" i="13"/>
  <c r="D28" i="13"/>
  <c r="E29" i="13"/>
  <c r="D29" i="13"/>
  <c r="D27" i="12"/>
  <c r="G28" i="13"/>
  <c r="F28" i="13"/>
  <c r="G29" i="13"/>
  <c r="F29" i="13"/>
  <c r="F31" i="14"/>
  <c r="G33" i="14" s="1"/>
  <c r="D31" i="14"/>
  <c r="E32" i="14" s="1"/>
  <c r="D31" i="15"/>
  <c r="D32" i="15" s="1"/>
  <c r="H32" i="14" l="1"/>
  <c r="H33" i="14"/>
  <c r="I32" i="14"/>
  <c r="I34" i="14" s="1"/>
  <c r="I35" i="14" s="1"/>
  <c r="I36" i="14" s="1"/>
  <c r="F30" i="13"/>
  <c r="F31" i="13" s="1"/>
  <c r="F32" i="13" s="1"/>
  <c r="F32" i="15"/>
  <c r="F34" i="15" s="1"/>
  <c r="F35" i="15" s="1"/>
  <c r="F36" i="15" s="1"/>
  <c r="G32" i="15"/>
  <c r="G33" i="15"/>
  <c r="G30" i="13"/>
  <c r="G31" i="13" s="1"/>
  <c r="G32" i="13" s="1"/>
  <c r="D30" i="13"/>
  <c r="D31" i="13" s="1"/>
  <c r="D32" i="13" s="1"/>
  <c r="E30" i="13"/>
  <c r="E31" i="13" s="1"/>
  <c r="E32" i="13" s="1"/>
  <c r="F32" i="14"/>
  <c r="F33" i="14"/>
  <c r="D29" i="12"/>
  <c r="E28" i="12"/>
  <c r="D28" i="12"/>
  <c r="E29" i="12"/>
  <c r="G32" i="14"/>
  <c r="G34" i="14" s="1"/>
  <c r="G35" i="14" s="1"/>
  <c r="G36" i="14" s="1"/>
  <c r="E33" i="14"/>
  <c r="E34" i="14" s="1"/>
  <c r="E35" i="14" s="1"/>
  <c r="E36" i="14" s="1"/>
  <c r="D32" i="14"/>
  <c r="D33" i="14"/>
  <c r="G28" i="12"/>
  <c r="F28" i="12"/>
  <c r="G29" i="12"/>
  <c r="F29" i="12"/>
  <c r="E32" i="15"/>
  <c r="D33" i="15"/>
  <c r="D34" i="15" s="1"/>
  <c r="D35" i="15" s="1"/>
  <c r="D36" i="15" s="1"/>
  <c r="E33" i="15"/>
  <c r="F33" i="13" l="1"/>
  <c r="F34" i="13" s="1"/>
  <c r="F35" i="13" s="1"/>
  <c r="H34" i="14"/>
  <c r="H35" i="14" s="1"/>
  <c r="H36" i="14" s="1"/>
  <c r="H37" i="14" s="1"/>
  <c r="H38" i="14" s="1"/>
  <c r="H39" i="14" s="1"/>
  <c r="G34" i="15"/>
  <c r="G35" i="15" s="1"/>
  <c r="G36" i="15" s="1"/>
  <c r="F37" i="15" s="1"/>
  <c r="F38" i="15" s="1"/>
  <c r="F39" i="15" s="1"/>
  <c r="D33" i="13"/>
  <c r="D34" i="13" s="1"/>
  <c r="D35" i="13" s="1"/>
  <c r="D30" i="12"/>
  <c r="D31" i="12" s="1"/>
  <c r="D32" i="12" s="1"/>
  <c r="E34" i="15"/>
  <c r="E35" i="15" s="1"/>
  <c r="E36" i="15" s="1"/>
  <c r="D37" i="15" s="1"/>
  <c r="D38" i="15" s="1"/>
  <c r="D39" i="15" s="1"/>
  <c r="D34" i="14"/>
  <c r="D35" i="14" s="1"/>
  <c r="D36" i="14" s="1"/>
  <c r="D37" i="14" s="1"/>
  <c r="D38" i="14" s="1"/>
  <c r="D39" i="14" s="1"/>
  <c r="I12" i="11" s="1"/>
  <c r="F34" i="14"/>
  <c r="F35" i="14" s="1"/>
  <c r="F36" i="14" s="1"/>
  <c r="F37" i="14" s="1"/>
  <c r="F38" i="14" s="1"/>
  <c r="F39" i="14" s="1"/>
  <c r="F30" i="12"/>
  <c r="F31" i="12" s="1"/>
  <c r="F32" i="12" s="1"/>
  <c r="E30" i="12"/>
  <c r="E31" i="12" s="1"/>
  <c r="E32" i="12" s="1"/>
  <c r="D33" i="12" s="1"/>
  <c r="D34" i="12" s="1"/>
  <c r="D35" i="12" s="1"/>
  <c r="G30" i="12"/>
  <c r="G31" i="12" s="1"/>
  <c r="G32" i="12" s="1"/>
  <c r="F33" i="12" l="1"/>
  <c r="F34" i="12" s="1"/>
  <c r="F35" i="12" s="1"/>
  <c r="I14" i="11" l="1"/>
  <c r="I16" i="11"/>
  <c r="I13" i="11"/>
  <c r="I15" i="11"/>
  <c r="F15" i="11"/>
  <c r="F16" i="11"/>
  <c r="I17" i="11" l="1"/>
  <c r="F18" i="11"/>
  <c r="F17" i="11"/>
  <c r="I18"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SAPP, AUSTIN</author>
  </authors>
  <commentList>
    <comment ref="B6" authorId="0" shapeId="0" xr:uid="{67BEE8EA-695E-4B2F-9ED2-B6C19C27E48C}">
      <text>
        <r>
          <rPr>
            <b/>
            <sz val="9"/>
            <color indexed="81"/>
            <rFont val="Tahoma"/>
            <family val="2"/>
          </rPr>
          <t>Required field to determin initial splitters based on 95% broadband subscribers.  Enter total BB Subs and the tool will calculate 95% based on that.  LEIS Web can be used to get this number as per CLR 3.8.2.1.</t>
        </r>
      </text>
    </comment>
    <comment ref="I6" authorId="0" shapeId="0" xr:uid="{B403B6BE-422E-4B6A-8004-D93B4D615A92}">
      <text>
        <r>
          <rPr>
            <b/>
            <sz val="9"/>
            <color indexed="81"/>
            <rFont val="Tahoma"/>
            <family val="2"/>
          </rPr>
          <t>GPON Optics use class N1.
XGSPON FWLT-B+ (8 Port cards) are class N1.
ROLT XGSPON FWLT-C  (16 Ports cards) should be N1 unless N2 are needed to eliminate an ROLT due to ecomomics.
CO XGSPON FWLT-C  (16 Ports cards) are class N2.</t>
        </r>
      </text>
    </comment>
    <comment ref="B7" authorId="0" shapeId="0" xr:uid="{09685AC3-2544-44F5-BFEE-68D9C245970A}">
      <text>
        <r>
          <rPr>
            <b/>
            <sz val="9"/>
            <color indexed="81"/>
            <rFont val="Tahoma"/>
            <family val="2"/>
          </rPr>
          <t xml:space="preserve">Other services include greenfield and  ABFoGPON. </t>
        </r>
      </text>
    </comment>
    <comment ref="F10" authorId="0" shapeId="0" xr:uid="{278C498F-9CFB-44FB-B3F1-A8B01C454259}">
      <text>
        <r>
          <rPr>
            <b/>
            <sz val="9"/>
            <color indexed="81"/>
            <rFont val="Tahoma"/>
            <family val="2"/>
          </rPr>
          <t>Note:  The SFCM6 blocks transmission of 1550nm wavelenght.  If SFCM6 is deployed then 1550nm cannot be used for optical loss measurements.</t>
        </r>
      </text>
    </comment>
    <comment ref="D13" authorId="0" shapeId="0" xr:uid="{D5F85C3E-78DA-466A-9FB5-301C75594ED6}">
      <text>
        <r>
          <rPr>
            <b/>
            <sz val="9"/>
            <color indexed="81"/>
            <rFont val="Tahoma"/>
            <family val="2"/>
          </rPr>
          <t xml:space="preserve"> (Location "Q" to "H" on Optical Budget Diagram)</t>
        </r>
        <r>
          <rPr>
            <sz val="9"/>
            <color indexed="81"/>
            <rFont val="Tahoma"/>
            <family val="2"/>
          </rPr>
          <t xml:space="preserve">
</t>
        </r>
      </text>
    </comment>
    <comment ref="D14" authorId="0" shapeId="0" xr:uid="{5BF7AEA1-B01E-4D96-9576-3CABF28BFDBA}">
      <text>
        <r>
          <rPr>
            <b/>
            <sz val="9"/>
            <color indexed="81"/>
            <rFont val="Tahoma"/>
            <family val="2"/>
          </rPr>
          <t xml:space="preserve"> (Location "H" to "Q" on Optical Budget Diagram)</t>
        </r>
      </text>
    </comment>
    <comment ref="B15" authorId="0" shapeId="0" xr:uid="{722F23E9-FEAC-41DD-A694-0BC6F9E31155}">
      <text>
        <r>
          <rPr>
            <b/>
            <sz val="9"/>
            <color indexed="81"/>
            <rFont val="Tahoma"/>
            <family val="2"/>
          </rPr>
          <t xml:space="preserve">Fill out GPON Optical Budget to determine Split Ratio.  </t>
        </r>
        <r>
          <rPr>
            <sz val="9"/>
            <color indexed="81"/>
            <rFont val="Tahoma"/>
            <family val="2"/>
          </rPr>
          <t xml:space="preserve">
</t>
        </r>
      </text>
    </comment>
    <comment ref="B16" authorId="0" shapeId="0" xr:uid="{11146CDE-BBD7-4BA8-9B71-CC77550ACB20}">
      <text>
        <r>
          <rPr>
            <b/>
            <sz val="9"/>
            <color indexed="81"/>
            <rFont val="Tahoma"/>
            <family val="2"/>
          </rPr>
          <t>See Charts in ATT-TELCO-002-600-699 section 3.3 for PFP mounting types available for each size.</t>
        </r>
        <r>
          <rPr>
            <sz val="9"/>
            <color indexed="81"/>
            <rFont val="Tahoma"/>
            <family val="2"/>
          </rPr>
          <t xml:space="preserve">
</t>
        </r>
      </text>
    </comment>
    <comment ref="B17" authorId="0" shapeId="0" xr:uid="{65F7FA4C-9086-4927-9D1C-11B652FBC022}">
      <text>
        <r>
          <rPr>
            <b/>
            <sz val="9"/>
            <color indexed="81"/>
            <rFont val="Tahoma"/>
            <family val="2"/>
          </rPr>
          <t>See Charts in ATT-TELCO-002-600-699 section 3.4 for RDP Options.</t>
        </r>
      </text>
    </comment>
    <comment ref="B18" authorId="0" shapeId="0" xr:uid="{6589488A-01E8-4A47-B328-19EB53C41856}">
      <text>
        <r>
          <rPr>
            <b/>
            <sz val="9"/>
            <color indexed="81"/>
            <rFont val="Tahoma"/>
            <family val="2"/>
          </rPr>
          <t>See Charts in ATT-TELCO-002-600-699 section 3.4.1 or 3.5 for details on PFP Retrofits based on your region.</t>
        </r>
        <r>
          <rPr>
            <sz val="9"/>
            <color indexed="81"/>
            <rFont val="Tahoma"/>
            <family val="2"/>
          </rPr>
          <t xml:space="preserve">
</t>
        </r>
      </text>
    </comment>
    <comment ref="D21" authorId="0" shapeId="0" xr:uid="{A2D46707-3D52-4AE9-9109-79E5D6BD2E63}">
      <text>
        <r>
          <rPr>
            <b/>
            <sz val="9"/>
            <color indexed="81"/>
            <rFont val="Tahoma"/>
            <family val="2"/>
          </rPr>
          <t>This link will take you to ATT-TELCO-002-600-699 section 3.8.1 and 3.8.2 for CCU and Minimum DMA Take Rates.</t>
        </r>
      </text>
    </comment>
    <comment ref="D22" authorId="0" shapeId="0" xr:uid="{7BFBBFD7-EC4F-4E5D-BAD3-0E79A93AD9EE}">
      <text>
        <r>
          <rPr>
            <b/>
            <sz val="9"/>
            <color indexed="81"/>
            <rFont val="Tahoma"/>
            <family val="2"/>
          </rPr>
          <t>See ATT-TELCO-002-600-699 Section 3.8.1 for greenfield and CCU deployment guidance as well as minimum DMA Take Rate.</t>
        </r>
        <r>
          <rPr>
            <sz val="9"/>
            <color indexed="81"/>
            <rFont val="Tahoma"/>
            <family val="2"/>
          </rPr>
          <t xml:space="preserve">
</t>
        </r>
      </text>
    </comment>
    <comment ref="D23" authorId="0" shapeId="0" xr:uid="{4BE53B8B-4641-4B31-8793-AF22603A4E6D}">
      <text>
        <r>
          <rPr>
            <b/>
            <sz val="9"/>
            <color indexed="81"/>
            <rFont val="Tahoma"/>
            <family val="2"/>
          </rPr>
          <t>See ATT-TELCO-002-600-699 Section 3.8.1 for greenfield and CCU deployment guidance as well as minimum DMA Take Rate.</t>
        </r>
        <r>
          <rPr>
            <sz val="9"/>
            <color indexed="81"/>
            <rFont val="Tahoma"/>
            <family val="2"/>
          </rPr>
          <t xml:space="preserve">
</t>
        </r>
      </text>
    </comment>
    <comment ref="D26" authorId="0" shapeId="0" xr:uid="{168E226D-E822-4A81-9964-2888D4307647}">
      <text>
        <r>
          <rPr>
            <b/>
            <sz val="9"/>
            <color indexed="81"/>
            <rFont val="Tahoma"/>
            <family val="2"/>
          </rPr>
          <t>This link will take you to ATT-TELCO-002-600-699 section 3.8.1 and 3.8.2 for CCU and Minimum DMA Take Rates.</t>
        </r>
      </text>
    </comment>
    <comment ref="D27" authorId="0" shapeId="0" xr:uid="{F67BAD97-3FA2-4F0B-BDDD-AD17BD6C8AF2}">
      <text>
        <r>
          <rPr>
            <b/>
            <sz val="9"/>
            <color indexed="81"/>
            <rFont val="Tahoma"/>
            <family val="2"/>
          </rPr>
          <t>See ATT-TELCO-002-600-699 Section 3.8.1 for CCU deployment guidance and 3.8.2 for overbuild/minimum DMA take rate guidance.</t>
        </r>
        <r>
          <rPr>
            <sz val="9"/>
            <color indexed="81"/>
            <rFont val="Tahoma"/>
            <family val="2"/>
          </rPr>
          <t xml:space="preserve">
</t>
        </r>
      </text>
    </comment>
    <comment ref="D28" authorId="0" shapeId="0" xr:uid="{3B2DC2F1-66CE-4080-B1B0-059B32A0373C}">
      <text>
        <r>
          <rPr>
            <b/>
            <sz val="9"/>
            <color indexed="81"/>
            <rFont val="Tahoma"/>
            <family val="2"/>
          </rPr>
          <t>See ATT-TELCO-002-600-699 Section 3.8.1 for CCU deployment guidance and 3.8.2 for overbuild/minimum DMA take rate guidance.</t>
        </r>
        <r>
          <rPr>
            <sz val="9"/>
            <color indexed="81"/>
            <rFont val="Tahoma"/>
            <family val="2"/>
          </rPr>
          <t xml:space="preserve">
</t>
        </r>
      </text>
    </comment>
    <comment ref="D31" authorId="0" shapeId="0" xr:uid="{9ADBD635-A6E6-41BC-8F22-5E4F4C50E7A3}">
      <text>
        <r>
          <rPr>
            <b/>
            <sz val="9"/>
            <color indexed="81"/>
            <rFont val="Tahoma"/>
            <family val="2"/>
          </rPr>
          <t>This link will take you to ATT-TELCO-002-600-699 section 3.8.1 and 3.8.2 for CCU and Minimum DMA Take Rates.</t>
        </r>
      </text>
    </comment>
    <comment ref="A32" authorId="0" shapeId="0" xr:uid="{E8DE4BE0-EA49-4E0D-8329-73FD8E474494}">
      <text>
        <r>
          <rPr>
            <b/>
            <sz val="9"/>
            <color indexed="81"/>
            <rFont val="Tahoma"/>
            <family val="2"/>
          </rPr>
          <t xml:space="preserve">Do Not Include BUs entered known Multi-Tenant or the square footage fields below. </t>
        </r>
        <r>
          <rPr>
            <sz val="9"/>
            <color indexed="81"/>
            <rFont val="Tahoma"/>
            <family val="2"/>
          </rPr>
          <t xml:space="preserve">
</t>
        </r>
      </text>
    </comment>
    <comment ref="D32" authorId="0" shapeId="0" xr:uid="{07516B33-B5FB-4700-8A2F-DC739BE80A03}">
      <text>
        <r>
          <rPr>
            <b/>
            <sz val="9"/>
            <color indexed="81"/>
            <rFont val="Tahoma"/>
            <family val="2"/>
          </rPr>
          <t>See ATT-TELCO-002-600-699 Section  3.8.2 for overbuild take rate guidance.</t>
        </r>
      </text>
    </comment>
    <comment ref="A33" authorId="0" shapeId="0" xr:uid="{6512FD5A-88CE-41E4-8D0E-0A19B91B9D19}">
      <text>
        <r>
          <rPr>
            <b/>
            <sz val="9"/>
            <color indexed="81"/>
            <rFont val="Tahoma"/>
            <family val="2"/>
          </rPr>
          <t>Do Not Include BUs entered known standalone BUs above or the square footage fields below</t>
        </r>
      </text>
    </comment>
    <comment ref="A34" authorId="0" shapeId="0" xr:uid="{272D361A-E716-4FAD-8E62-EC043378D2D6}">
      <text>
        <r>
          <rPr>
            <b/>
            <sz val="9"/>
            <color indexed="81"/>
            <rFont val="Tahoma"/>
            <family val="2"/>
          </rPr>
          <t xml:space="preserve">Do Not Include BUs entered known Multi-Tenant or Standalone business above. </t>
        </r>
        <r>
          <rPr>
            <sz val="9"/>
            <color indexed="81"/>
            <rFont val="Tahoma"/>
            <family val="2"/>
          </rPr>
          <t xml:space="preserve">
</t>
        </r>
      </text>
    </comment>
    <comment ref="A35" authorId="0" shapeId="0" xr:uid="{6CE2CB1C-50DA-415B-8A7C-575FAE7313CB}">
      <text>
        <r>
          <rPr>
            <b/>
            <sz val="9"/>
            <color indexed="81"/>
            <rFont val="Tahoma"/>
            <family val="2"/>
          </rPr>
          <t xml:space="preserve">Do Not Include BUs entered known Multi-Tenant or Standalone business above. </t>
        </r>
      </text>
    </comment>
    <comment ref="A36" authorId="0" shapeId="0" xr:uid="{D399306E-7303-4640-A68B-A668AFAC3811}">
      <text>
        <r>
          <rPr>
            <b/>
            <sz val="9"/>
            <color indexed="81"/>
            <rFont val="Tahoma"/>
            <family val="2"/>
          </rPr>
          <t xml:space="preserve">Do Not enter warehouses into this row even if more than 20,000 SqFt.  Enter them in the row above.
Do Not Include BUs entered known Multi-Tenant or Standalone business above. </t>
        </r>
      </text>
    </comment>
    <comment ref="B41" authorId="0" shapeId="0" xr:uid="{01B30905-1D2A-4961-AD2A-4C3C98F3595E}">
      <text>
        <r>
          <rPr>
            <b/>
            <sz val="9"/>
            <color indexed="81"/>
            <rFont val="Tahoma"/>
            <family val="2"/>
          </rPr>
          <t>CLR 1.2.2.9.2:
Upto 12 fibers for unknown Mobility Requirements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Lorentzen, Julie</author>
  </authors>
  <commentList>
    <comment ref="A4" authorId="0" shapeId="0" xr:uid="{1BD42CB1-642E-4C66-B2C7-2B12F28F7FED}">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6" authorId="1" shapeId="0" xr:uid="{F0E82550-BFBC-4A21-96CB-9F2343E5E2B2}">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743961AF-02A9-4649-95F1-B7F228661B59}">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801BFEB6-0870-44E4-A09F-9BB0BE0AE63B}">
      <text>
        <r>
          <rPr>
            <b/>
            <sz val="9"/>
            <color indexed="81"/>
            <rFont val="Tahoma"/>
            <family val="2"/>
          </rPr>
          <t xml:space="preserve">jl7916:
</t>
        </r>
        <r>
          <rPr>
            <sz val="9"/>
            <color indexed="81"/>
            <rFont val="Tahoma"/>
            <family val="2"/>
          </rPr>
          <t>Previous version of calculator had a placeholder for WDM device; replace that entry with info for connectorized SFCM7.</t>
        </r>
      </text>
    </comment>
    <comment ref="A9" authorId="2" shapeId="0" xr:uid="{5453B56F-6D86-4C09-80AA-BFBEB806D67A}">
      <text>
        <r>
          <rPr>
            <b/>
            <sz val="9"/>
            <color indexed="81"/>
            <rFont val="Tahoma"/>
            <family val="2"/>
          </rPr>
          <t>Lorentzen, Julie:</t>
        </r>
        <r>
          <rPr>
            <sz val="9"/>
            <color indexed="81"/>
            <rFont val="Tahoma"/>
            <family val="2"/>
          </rPr>
          <t xml:space="preserve">
The SFCM7 is connectorized, but we also need to account for the connectors on the fiber jumpers that connect to the SFCM7.  </t>
        </r>
      </text>
    </comment>
    <comment ref="B15" authorId="1" shapeId="0" xr:uid="{6904433B-B2F6-49CC-A352-F8933FE1CD28}">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6" authorId="1" shapeId="0" xr:uid="{ECA7566F-057D-4296-A57D-4B24919EFE95}">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3BFF1573-5EF1-44AE-80DA-E277A13A5E2F}">
      <text>
        <r>
          <rPr>
            <b/>
            <sz val="8"/>
            <color indexed="81"/>
            <rFont val="Tahoma"/>
            <family val="2"/>
          </rPr>
          <t>12/3/2008:</t>
        </r>
        <r>
          <rPr>
            <sz val="8"/>
            <color indexed="81"/>
            <rFont val="Tahoma"/>
            <family val="2"/>
          </rPr>
          <t xml:space="preserve">
Maximum loss requirements by splitter supplier (not including input/output connectors) </t>
        </r>
      </text>
    </comment>
    <comment ref="B18" authorId="1" shapeId="0" xr:uid="{52664C58-A7DA-41D2-B75D-D0B4F0900814}">
      <text>
        <r>
          <rPr>
            <b/>
            <sz val="8"/>
            <color indexed="81"/>
            <rFont val="Tahoma"/>
            <family val="2"/>
          </rPr>
          <t>12/3/2008:</t>
        </r>
        <r>
          <rPr>
            <sz val="8"/>
            <color indexed="81"/>
            <rFont val="Tahoma"/>
            <family val="2"/>
          </rPr>
          <t xml:space="preserve">
APC connector for new build GPON splitters at PFPs.  See ATT-TELCO-PAN-2005-3508.</t>
        </r>
      </text>
    </comment>
    <comment ref="C21" authorId="1" shapeId="0" xr:uid="{4BB53D83-CAAE-4D68-8562-F03CBA9629AF}">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6" authorId="0" shapeId="0" xr:uid="{A25E3139-9CEC-4717-B6D1-5D4FBB81FC49}">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8" authorId="0" shapeId="0" xr:uid="{E4DAA049-77B6-470B-BA88-BDC249927CC3}">
      <text>
        <r>
          <rPr>
            <b/>
            <sz val="9"/>
            <color indexed="81"/>
            <rFont val="Tahoma"/>
            <family val="2"/>
          </rPr>
          <t>kmccammon:</t>
        </r>
        <r>
          <rPr>
            <sz val="9"/>
            <color indexed="81"/>
            <rFont val="Tahoma"/>
            <family val="2"/>
          </rPr>
          <t xml:space="preserve">
Trials ongoing to ensure negligible excess loss (analysis can obtain a non-zero value to include here) 
(wavelength dependent) from inside fiber jumper placed by AT&amp;T from Fiber Jack to ONT under expected customer actions for cordage.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Lorentzen, Julie</author>
  </authors>
  <commentList>
    <comment ref="A4" authorId="0" shapeId="0" xr:uid="{87328AD7-10DA-48EE-A4C4-CA11F1A387FB}">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3C4C32B3-A3B0-4D26-81C3-3539779B3B7D}">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45F96B5D-C3A0-491B-A596-4CBFF66EE914}">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004C310C-8838-49F1-BABE-1D61B4EFE6DD}">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1CF3CFD7-280B-4313-805A-B91515A2BF65}">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B2597163-5D86-4402-B19C-B6B5D80B3E37}">
      <text>
        <r>
          <rPr>
            <b/>
            <sz val="9"/>
            <color indexed="81"/>
            <rFont val="Tahoma"/>
            <family val="2"/>
          </rPr>
          <t>jl7916:</t>
        </r>
        <r>
          <rPr>
            <sz val="9"/>
            <color indexed="81"/>
            <rFont val="Tahoma"/>
            <family val="2"/>
          </rPr>
          <t xml:space="preserve">
Previous version of calculator had a placeholder for WDM device; replace that entry with info for connectorized SFCM7.</t>
        </r>
      </text>
    </comment>
    <comment ref="A9" authorId="2" shapeId="0" xr:uid="{4B040E25-4929-40BC-96CB-FD08A2B02123}">
      <text>
        <r>
          <rPr>
            <b/>
            <sz val="9"/>
            <color indexed="81"/>
            <rFont val="Tahoma"/>
            <family val="2"/>
          </rPr>
          <t>Lorentzen, Julie:</t>
        </r>
        <r>
          <rPr>
            <sz val="9"/>
            <color indexed="81"/>
            <rFont val="Tahoma"/>
            <family val="2"/>
          </rPr>
          <t xml:space="preserve">
The SFCM7 is connectorized, but we also need to account for the connectors on the fiber jumpers that connect to the SFCM7.  </t>
        </r>
      </text>
    </comment>
    <comment ref="B15" authorId="1" shapeId="0" xr:uid="{B45E3700-0C6A-4850-AFAF-A94C337B5C94}">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6" authorId="1" shapeId="0" xr:uid="{2B51D0EB-A491-4B92-8F7D-D8F8B8681F88}">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A1723D4D-4D32-4F28-877F-BB9C1625E62B}">
      <text>
        <r>
          <rPr>
            <b/>
            <sz val="8"/>
            <color indexed="81"/>
            <rFont val="Tahoma"/>
            <family val="2"/>
          </rPr>
          <t>12/3/2008:</t>
        </r>
        <r>
          <rPr>
            <sz val="8"/>
            <color indexed="81"/>
            <rFont val="Tahoma"/>
            <family val="2"/>
          </rPr>
          <t xml:space="preserve">
Maximum loss requirements by splitter supplier (not including input/output connectors) </t>
        </r>
      </text>
    </comment>
    <comment ref="B18" authorId="1" shapeId="0" xr:uid="{A05B486E-EF2F-4602-896B-007B54CD8BA3}">
      <text>
        <r>
          <rPr>
            <b/>
            <sz val="8"/>
            <color indexed="81"/>
            <rFont val="Tahoma"/>
            <family val="2"/>
          </rPr>
          <t>12/3/2008:</t>
        </r>
        <r>
          <rPr>
            <sz val="8"/>
            <color indexed="81"/>
            <rFont val="Tahoma"/>
            <family val="2"/>
          </rPr>
          <t xml:space="preserve">
APC connector for new build GPON splitters at PFPs.  See ATT-TELCO-PAN-2005-3508.</t>
        </r>
      </text>
    </comment>
    <comment ref="C21" authorId="1" shapeId="0" xr:uid="{8641E489-14F9-460D-A6E9-4BC7B882AA51}">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6" authorId="0" shapeId="0" xr:uid="{A0AB0138-DA0B-429F-8385-847D5FA4C97B}">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8" authorId="0" shapeId="0" xr:uid="{56DF9183-18EE-4011-A409-608436DB65B5}">
      <text>
        <r>
          <rPr>
            <b/>
            <sz val="9"/>
            <color indexed="81"/>
            <rFont val="Tahoma"/>
            <family val="2"/>
          </rPr>
          <t>kmccammon:</t>
        </r>
        <r>
          <rPr>
            <sz val="9"/>
            <color indexed="81"/>
            <rFont val="Tahoma"/>
            <family val="2"/>
          </rPr>
          <t xml:space="preserve">
Trials ongoing to ensure negligible excess loss (analysis can obtain a non-zero value to include here) 
(wavelength dependent) from inside fiber jumper placed by AT&amp;T from Fiber Jack to ONT under expected customer actions for cordage.</t>
        </r>
      </text>
    </comment>
    <comment ref="C38" authorId="1" shapeId="0" xr:uid="{E66C04D6-6963-4132-966D-482152742C69}">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9" authorId="1" shapeId="0" xr:uid="{F96406BB-A434-4533-900B-4254FB269B63}">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s>
  <commentList>
    <comment ref="A4" authorId="0" shapeId="0" xr:uid="{B9BCF176-3B34-446E-B309-714803DF602C}">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664350BA-19DD-4A8A-8FF9-FCDF12F0E88D}">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E3B0FFFD-55BD-4630-8003-B41C8B9BC66A}">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95658142-55B1-4B44-A2EA-83BCED63C47F}">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643B1274-575E-4D33-B379-4A4B32C17F83}">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0A66F639-5B03-4243-AFF2-389DEDA1D003}">
      <text>
        <r>
          <rPr>
            <b/>
            <sz val="9"/>
            <color indexed="81"/>
            <rFont val="Tahoma"/>
            <family val="2"/>
          </rPr>
          <t>kmccammon:</t>
        </r>
        <r>
          <rPr>
            <sz val="9"/>
            <color indexed="81"/>
            <rFont val="Tahoma"/>
            <family val="2"/>
          </rPr>
          <t xml:space="preserve">
Assume "0" unless a AT&amp;T decision made to pre-plan to enable a no PFP rearrangement and smoother Migration from GPON to future PON migration
</t>
        </r>
      </text>
    </comment>
    <comment ref="B11" authorId="1" shapeId="0" xr:uid="{9898EF8A-654A-42F4-92B1-FC880C889047}">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2" authorId="1" shapeId="0" xr:uid="{89720CF2-08F8-4F20-9211-902B13D74057}">
      <text>
        <r>
          <rPr>
            <b/>
            <sz val="8"/>
            <color indexed="81"/>
            <rFont val="Tahoma"/>
            <family val="2"/>
          </rPr>
          <t>12/3/2008:</t>
        </r>
        <r>
          <rPr>
            <sz val="8"/>
            <color indexed="81"/>
            <rFont val="Tahoma"/>
            <family val="2"/>
          </rPr>
          <t xml:space="preserve">
APC connector for new build GPON splitters at PFPs.  See ATT-TELCO-PAN-2005-3508.</t>
        </r>
      </text>
    </comment>
    <comment ref="C13" authorId="1" shapeId="0" xr:uid="{0C32EE92-DFB2-4F4F-9FE9-6F3AB73DB541}">
      <text>
        <r>
          <rPr>
            <b/>
            <sz val="8"/>
            <color indexed="81"/>
            <rFont val="Tahoma"/>
            <family val="2"/>
          </rPr>
          <t>12/3/2008:</t>
        </r>
        <r>
          <rPr>
            <sz val="8"/>
            <color indexed="81"/>
            <rFont val="Tahoma"/>
            <family val="2"/>
          </rPr>
          <t xml:space="preserve">
Maximum loss requirements by splitter supplier (not including input/output connectors) </t>
        </r>
      </text>
    </comment>
    <comment ref="B14" authorId="1" shapeId="0" xr:uid="{605D8332-5D88-4E56-9EDC-28263093FE83}">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503001C3-2EB0-477A-BCD9-FF9ED79B3E13}">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2" authorId="0" shapeId="0" xr:uid="{657DE657-6ADF-43BE-B814-4582312B2E60}">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4" authorId="0" shapeId="0" xr:uid="{E8CC4C92-A498-46A4-8DF8-79A181DE7875}">
      <text>
        <r>
          <rPr>
            <b/>
            <sz val="9"/>
            <color indexed="81"/>
            <rFont val="Tahoma"/>
            <family val="2"/>
          </rPr>
          <t>kmccammon:</t>
        </r>
        <r>
          <rPr>
            <sz val="9"/>
            <color indexed="81"/>
            <rFont val="Tahoma"/>
            <family val="2"/>
          </rPr>
          <t xml:space="preserve">
Trials ongoing to ensure neglible excess loss (analysis can obtain a non-zero value to include here) 
(wavelength dependent) from inside fiber jumper placed by AT&amp;T from Fiber Jack to ONT under expected customer actions for cordage.</t>
        </r>
      </text>
    </comment>
    <comment ref="C34" authorId="1" shapeId="0" xr:uid="{56C8A360-AE43-4B5A-AE50-F0ED5563816F}">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5" authorId="1" shapeId="0" xr:uid="{4229830C-7DDE-4183-ADAA-3E19016840F0}">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kmccammon</author>
    <author>yjsdfwd</author>
  </authors>
  <commentList>
    <comment ref="A4" authorId="0" shapeId="0" xr:uid="{790F1E43-607E-4593-82C2-F9D1D601CCCF}">
      <text>
        <r>
          <rPr>
            <b/>
            <sz val="9"/>
            <color indexed="81"/>
            <rFont val="Tahoma"/>
            <family val="2"/>
          </rPr>
          <t>kmccammon:</t>
        </r>
        <r>
          <rPr>
            <sz val="9"/>
            <color indexed="81"/>
            <rFont val="Tahoma"/>
            <family val="2"/>
          </rPr>
          <t xml:space="preserve">
Budget in C4 symmetric (Down/Up) into C4, for asymmetric budgets, overwrite D4-G4 with speciifc values, overwriting formula
</t>
        </r>
      </text>
    </comment>
    <comment ref="C4" authorId="1" shapeId="0" xr:uid="{E8F807E8-23B6-456A-915E-C3D57ACDCA90}">
      <text>
        <r>
          <rPr>
            <b/>
            <sz val="8"/>
            <color indexed="81"/>
            <rFont val="Tahoma"/>
            <family val="2"/>
          </rPr>
          <t>11/24/2008:</t>
        </r>
        <r>
          <rPr>
            <sz val="8"/>
            <color indexed="81"/>
            <rFont val="Tahoma"/>
            <family val="2"/>
          </rPr>
          <t xml:space="preserve">
Consistent with optical loss budget in GPON standards per G.984.2 for Class B+ Optics, GLT4-A. Pluggables for GLT8 card also meet 28 dB, also a 32 dB variant pluggable that requires FEC is an option from ALU
</t>
        </r>
      </text>
    </comment>
    <comment ref="E4" authorId="1" shapeId="0" xr:uid="{59B43DA8-2F6C-430D-A8A8-341521D87C04}">
      <text>
        <r>
          <rPr>
            <b/>
            <sz val="8"/>
            <color indexed="81"/>
            <rFont val="Tahoma"/>
            <family val="2"/>
          </rPr>
          <t>11/24/2008:</t>
        </r>
        <r>
          <rPr>
            <sz val="8"/>
            <color indexed="81"/>
            <rFont val="Tahoma"/>
            <family val="2"/>
          </rPr>
          <t xml:space="preserve">
Consistent with optical loss budget in GPON standards per G.984.2 for Class B+ Optics</t>
        </r>
      </text>
    </comment>
    <comment ref="C6" authorId="1" shapeId="0" xr:uid="{C0401AC9-8B23-4A4E-A091-8F421BE08AC4}">
      <text>
        <r>
          <rPr>
            <b/>
            <sz val="8"/>
            <color indexed="81"/>
            <rFont val="Tahoma"/>
            <family val="2"/>
          </rPr>
          <t>11/24/2008:</t>
        </r>
        <r>
          <rPr>
            <sz val="8"/>
            <color indexed="81"/>
            <rFont val="Tahoma"/>
            <family val="2"/>
          </rPr>
          <t xml:space="preserve">
Maintenance Margin for entire fiber link is a MINIMUM of 1 dB. 
</t>
        </r>
      </text>
    </comment>
    <comment ref="B7" authorId="1" shapeId="0" xr:uid="{FE04171E-9D4A-4109-826A-7F6B7D706553}">
      <text>
        <r>
          <rPr>
            <b/>
            <sz val="8"/>
            <color indexed="81"/>
            <rFont val="Tahoma"/>
            <family val="2"/>
          </rPr>
          <t>11/24/2008:</t>
        </r>
        <r>
          <rPr>
            <sz val="8"/>
            <color indexed="81"/>
            <rFont val="Tahoma"/>
            <family val="2"/>
          </rPr>
          <t xml:space="preserve">
Includes 2 connectors at FOT panels for intra building cable (OSP frame to equipment line-up) as well as 1 connector at FOT panel for OSP cable.  See locations B, F, and H on model diagram.  Connector at OLT GPON card included in system optical budget.</t>
        </r>
      </text>
    </comment>
    <comment ref="A8" authorId="0" shapeId="0" xr:uid="{31BAE03E-25B2-4D38-B143-C7E938178083}">
      <text>
        <r>
          <rPr>
            <b/>
            <sz val="9"/>
            <color indexed="81"/>
            <rFont val="Tahoma"/>
            <family val="2"/>
          </rPr>
          <t>kmccammon:</t>
        </r>
        <r>
          <rPr>
            <sz val="9"/>
            <color indexed="81"/>
            <rFont val="Tahoma"/>
            <family val="2"/>
          </rPr>
          <t xml:space="preserve">
Assume "0" unless a AT&amp;T decision made to pre-plan to enable a no PFP rearrangement and smoother Migration from GPON to future PON migration
</t>
        </r>
      </text>
    </comment>
    <comment ref="B11" authorId="1" shapeId="0" xr:uid="{6F74081C-5C5E-4F53-8CA7-AC4CF3FBCA7B}">
      <text>
        <r>
          <rPr>
            <b/>
            <sz val="8"/>
            <color indexed="81"/>
            <rFont val="Tahoma"/>
            <family val="2"/>
          </rPr>
          <t>12/3/2008:</t>
        </r>
        <r>
          <rPr>
            <sz val="8"/>
            <color indexed="81"/>
            <rFont val="Tahoma"/>
            <family val="2"/>
          </rPr>
          <t xml:space="preserve">
Splice for stub to splitter (direct spliced) or to connector panel (plug &amp; play splitter)</t>
        </r>
      </text>
    </comment>
    <comment ref="B12" authorId="1" shapeId="0" xr:uid="{48622BDF-FD65-4972-8CB1-69819FEE7CF6}">
      <text>
        <r>
          <rPr>
            <b/>
            <sz val="8"/>
            <color indexed="81"/>
            <rFont val="Tahoma"/>
            <family val="2"/>
          </rPr>
          <t>12/3/2008:</t>
        </r>
        <r>
          <rPr>
            <sz val="8"/>
            <color indexed="81"/>
            <rFont val="Tahoma"/>
            <family val="2"/>
          </rPr>
          <t xml:space="preserve">
APC connector for new build GPON splitters at PFPs.  See ATT-TELCO-PAN-2005-3508.</t>
        </r>
      </text>
    </comment>
    <comment ref="C13" authorId="1" shapeId="0" xr:uid="{7442B65E-F64B-4C7D-8F1E-7F74BCE2C2EB}">
      <text>
        <r>
          <rPr>
            <b/>
            <sz val="8"/>
            <color indexed="81"/>
            <rFont val="Tahoma"/>
            <family val="2"/>
          </rPr>
          <t>12/3/2008:</t>
        </r>
        <r>
          <rPr>
            <sz val="8"/>
            <color indexed="81"/>
            <rFont val="Tahoma"/>
            <family val="2"/>
          </rPr>
          <t xml:space="preserve">
Maximum loss requirements by splitter supplier (not including input/output connectors) </t>
        </r>
      </text>
    </comment>
    <comment ref="B14" authorId="1" shapeId="0" xr:uid="{913C5ABB-737C-45D6-AE9F-E8511E59A419}">
      <text>
        <r>
          <rPr>
            <b/>
            <sz val="8"/>
            <color indexed="81"/>
            <rFont val="Tahoma"/>
            <family val="2"/>
          </rPr>
          <t>12/3/2008:</t>
        </r>
        <r>
          <rPr>
            <sz val="8"/>
            <color indexed="81"/>
            <rFont val="Tahoma"/>
            <family val="2"/>
          </rPr>
          <t xml:space="preserve">
APC connector for new build GPON splitters at PFPs.  See ATT-TELCO-PAN-2005-3508.</t>
        </r>
      </text>
    </comment>
    <comment ref="C17" authorId="1" shapeId="0" xr:uid="{EE61D396-B777-4E0F-9F3B-A35B8A552C16}">
      <text>
        <r>
          <rPr>
            <b/>
            <sz val="8"/>
            <color indexed="81"/>
            <rFont val="Tahoma"/>
            <family val="2"/>
          </rPr>
          <t>11/24/2008:</t>
        </r>
        <r>
          <rPr>
            <sz val="8"/>
            <color indexed="81"/>
            <rFont val="Tahoma"/>
            <family val="2"/>
          </rPr>
          <t xml:space="preserve">
Comments per Kent McCammon:
Microbending Losses are a margin added per OSP section prone to excesive bending for standard fiber.
For retrofit FTTC applications, excessive bending of fiber cordage in the HDT or Curb pedestal is possibile during the retrofit with the legacy fiber pigtails, fiber jumpers  are not bend insensitive in SE.  If new bend insensitive type fibers are placed, this loss could be eliminated, but this change in OSP fiber type is not probable as of 2014. Bend insensitive is considered for premises use not Outside Plant cabling.
The 1490 nm wavelength  is more susceptable to bending loss than 1310 nm wavelengths.</t>
        </r>
      </text>
    </comment>
    <comment ref="A22" authorId="0" shapeId="0" xr:uid="{7F645D7D-C4EA-4131-BA17-E9AB413866DF}">
      <text>
        <r>
          <rPr>
            <b/>
            <sz val="9"/>
            <color indexed="81"/>
            <rFont val="Tahoma"/>
            <family val="2"/>
          </rPr>
          <t>kmccammon:</t>
        </r>
        <r>
          <rPr>
            <sz val="9"/>
            <color indexed="81"/>
            <rFont val="Tahoma"/>
            <family val="2"/>
          </rPr>
          <t xml:space="preserve">
Field Installable Fiber connector used to avoid slack storage at Outdoor ONT or Outdoor Fiber Box. Using 0.35 dB same as other SC/APC in outside plant usage. If outdoor ONT, the ONT connector is already accounted for in the System Spec Power budget, only when indoor does this get added. 
Assume the crimplok technique is done properly and is a robust reliable product.
</t>
        </r>
      </text>
    </comment>
    <comment ref="A24" authorId="0" shapeId="0" xr:uid="{86B017E7-B3A3-4A9E-8600-F2085741340A}">
      <text>
        <r>
          <rPr>
            <b/>
            <sz val="9"/>
            <color indexed="81"/>
            <rFont val="Tahoma"/>
            <family val="2"/>
          </rPr>
          <t>kmccammon:</t>
        </r>
        <r>
          <rPr>
            <sz val="9"/>
            <color indexed="81"/>
            <rFont val="Tahoma"/>
            <family val="2"/>
          </rPr>
          <t xml:space="preserve">
Trials ongoing to ensure neglible excess loss (analysis can obtain a non-zero value to include here) 
(wavelength dependent) from inside fiber jumper placed by AT&amp;T from Fiber Jack to ONT under expected customer actions for cordage.</t>
        </r>
      </text>
    </comment>
    <comment ref="C34" authorId="1" shapeId="0" xr:uid="{9E59BA3E-8326-4077-8782-77858BA01C5A}">
      <text>
        <r>
          <rPr>
            <b/>
            <sz val="8"/>
            <color indexed="81"/>
            <rFont val="Tahoma"/>
            <family val="2"/>
          </rPr>
          <t>12/3/2008:</t>
        </r>
        <r>
          <rPr>
            <sz val="8"/>
            <color indexed="81"/>
            <rFont val="Tahoma"/>
            <family val="2"/>
          </rPr>
          <t xml:space="preserve">
ALU and Ericsson G-PON with DFB lasers could reach to 30 km exceeding GPON standard of 20km.  Limits reduced 2.4 kft and 1.6 kft respectively to reflect uncertainty in design measurements. However, the PON port must be set accordingly to the sliding range of 10-30 km, thus this Limit not relevant until ranging limit is used for 10-30 km.
</t>
        </r>
      </text>
    </comment>
    <comment ref="C35" authorId="1" shapeId="0" xr:uid="{E9CC7697-5313-4C23-A861-F320C28B4C89}">
      <text>
        <r>
          <rPr>
            <b/>
            <sz val="8"/>
            <color indexed="81"/>
            <rFont val="Tahoma"/>
            <family val="2"/>
          </rPr>
          <t>12/3/2008:</t>
        </r>
        <r>
          <rPr>
            <sz val="8"/>
            <color indexed="81"/>
            <rFont val="Tahoma"/>
            <family val="2"/>
          </rPr>
          <t xml:space="preserve">
ALU G-PON system ranging limit defaults to 0-20 km. 20 km = 65.6 kilofeet.  Limits reduced 1.6 kft to reflect uncertainty in design measurements, thereby reduces to 64kft working distance.   Differential reach also remains at 20Km for all ONTs sharing a PON (Near ONT minus Far ONT not greater than 20 km). Suppliers do allow a sliding window (1-20km, 10-50 km, etc) but its provisionable and AT&amp;T has not decided operationalize configurable PON ports at OLT to take advantage of newer capabilities.</t>
        </r>
      </text>
    </comment>
  </commentList>
</comments>
</file>

<file path=xl/sharedStrings.xml><?xml version="1.0" encoding="utf-8"?>
<sst xmlns="http://schemas.openxmlformats.org/spreadsheetml/2006/main" count="983" uniqueCount="466">
  <si>
    <t>Enter Data in Yellow Fields</t>
  </si>
  <si>
    <t>Enter Split Ratio Here</t>
  </si>
  <si>
    <t>Enter PFP Type Here</t>
  </si>
  <si>
    <t>Split Ratio</t>
  </si>
  <si>
    <t>POLE</t>
  </si>
  <si>
    <t>PFP Type</t>
  </si>
  <si>
    <t>PAD</t>
  </si>
  <si>
    <t>Usable Square Footage</t>
  </si>
  <si>
    <t># of Units/Nodes/Services</t>
  </si>
  <si>
    <t>LightGig/CCU Take Rate</t>
  </si>
  <si>
    <t>Distribution fibers required</t>
  </si>
  <si>
    <r>
      <t>Greenfield SFUs</t>
    </r>
    <r>
      <rPr>
        <b/>
        <vertAlign val="superscript"/>
        <sz val="11"/>
        <color theme="1"/>
        <rFont val="Calibri"/>
        <family val="2"/>
        <scheme val="minor"/>
      </rPr>
      <t>1</t>
    </r>
  </si>
  <si>
    <r>
      <t>Greenfield MDUs</t>
    </r>
    <r>
      <rPr>
        <b/>
        <vertAlign val="superscript"/>
        <sz val="11"/>
        <color theme="1"/>
        <rFont val="Calibri"/>
        <family val="2"/>
        <scheme val="minor"/>
      </rPr>
      <t>2</t>
    </r>
  </si>
  <si>
    <r>
      <t>Overbuild SFU/MDU</t>
    </r>
    <r>
      <rPr>
        <b/>
        <vertAlign val="superscript"/>
        <sz val="11"/>
        <color theme="1"/>
        <rFont val="Calibri"/>
        <family val="2"/>
        <scheme val="minor"/>
      </rPr>
      <t>3</t>
    </r>
  </si>
  <si>
    <t xml:space="preserve">*Note this section include an 18% increase to ensure spares and is consitant with the LG portion of the tables 17.4.3.  </t>
  </si>
  <si>
    <t>Known Single Tenant Bus</t>
  </si>
  <si>
    <t>Known Multi Tenant Bus</t>
  </si>
  <si>
    <t xml:space="preserve">Unknown Single Tenant BUs </t>
  </si>
  <si>
    <t>Unknown Multi Tenant BUs</t>
  </si>
  <si>
    <t>E-Rate locations (Schools/Libraries)</t>
  </si>
  <si>
    <t>CRAN</t>
  </si>
  <si>
    <t>Total Distribution Fibers</t>
  </si>
  <si>
    <t>1X32 Splitters that come with the PFP</t>
  </si>
  <si>
    <t>Total Splitters Required on Initial Turn Up</t>
  </si>
  <si>
    <t>Additional Splitters Required of the selected Split Ratio</t>
  </si>
  <si>
    <t>Ultimate Number of Splitters Required</t>
  </si>
  <si>
    <t>Number of Pass Thrus Required (25% of businesses/100% of CRAN)</t>
  </si>
  <si>
    <t>Recommended PFP</t>
  </si>
  <si>
    <t>Minimum Drop Fibers:</t>
  </si>
  <si>
    <t>Instructions PFP Sizing:</t>
  </si>
  <si>
    <r>
      <rPr>
        <sz val="11"/>
        <rFont val="Calibri"/>
        <family val="2"/>
        <scheme val="minor"/>
      </rPr>
      <t xml:space="preserve">2) Determine the Split Ratio using the </t>
    </r>
    <r>
      <rPr>
        <u/>
        <sz val="11"/>
        <color theme="10"/>
        <rFont val="Calibri"/>
        <family val="2"/>
        <scheme val="minor"/>
      </rPr>
      <t>GPON Optical Budget Tool</t>
    </r>
    <r>
      <rPr>
        <sz val="11"/>
        <rFont val="Calibri"/>
        <family val="2"/>
        <scheme val="minor"/>
      </rPr>
      <t>.  See Optical Budget instructions below.  Cell B15 will be updated automatically.</t>
    </r>
  </si>
  <si>
    <r>
      <rPr>
        <sz val="11"/>
        <rFont val="Calibri"/>
        <family val="2"/>
        <scheme val="minor"/>
      </rPr>
      <t xml:space="preserve">3) Use the charts in </t>
    </r>
    <r>
      <rPr>
        <u/>
        <sz val="11"/>
        <color theme="10"/>
        <rFont val="Calibri"/>
        <family val="2"/>
        <scheme val="minor"/>
      </rPr>
      <t>ATT-TELCO-002-600-699 section 3.3</t>
    </r>
    <r>
      <rPr>
        <sz val="11"/>
        <rFont val="Calibri"/>
        <family val="2"/>
        <scheme val="minor"/>
      </rPr>
      <t xml:space="preserve"> to help you determine the desired PFP mounting type if unknown.  Enter mounting type in cell B16.</t>
    </r>
  </si>
  <si>
    <r>
      <rPr>
        <sz val="11"/>
        <rFont val="Calibri"/>
        <family val="2"/>
        <scheme val="minor"/>
      </rPr>
      <t>4)  See Charts in</t>
    </r>
    <r>
      <rPr>
        <u/>
        <sz val="11"/>
        <color theme="10"/>
        <rFont val="Calibri"/>
        <family val="2"/>
        <scheme val="minor"/>
      </rPr>
      <t xml:space="preserve"> ATT-TELCO-002-600-699 section 3.4</t>
    </r>
    <r>
      <rPr>
        <sz val="11"/>
        <rFont val="Calibri"/>
        <family val="2"/>
        <scheme val="minor"/>
      </rPr>
      <t xml:space="preserve"> for details on RDP PFPs.  Enter Yes or No in Cell B17.  Must be inside PFPs.</t>
    </r>
  </si>
  <si>
    <r>
      <rPr>
        <sz val="11"/>
        <rFont val="Calibri"/>
        <family val="2"/>
        <scheme val="minor"/>
      </rPr>
      <t xml:space="preserve">5) See Charts in </t>
    </r>
    <r>
      <rPr>
        <u/>
        <sz val="11"/>
        <color theme="10"/>
        <rFont val="Calibri"/>
        <family val="2"/>
        <scheme val="minor"/>
      </rPr>
      <t>ATT-TELCO-002-600-699 section 3.5</t>
    </r>
    <r>
      <rPr>
        <sz val="11"/>
        <rFont val="Calibri"/>
        <family val="2"/>
        <scheme val="minor"/>
      </rPr>
      <t xml:space="preserve"> for details on 3M PFP Retrofits.  Enter Yes or No in Cell B18.</t>
    </r>
  </si>
  <si>
    <r>
      <rPr>
        <sz val="11"/>
        <rFont val="Calibri"/>
        <family val="2"/>
        <scheme val="minor"/>
      </rPr>
      <t xml:space="preserve">9) Enter the number of </t>
    </r>
    <r>
      <rPr>
        <u/>
        <sz val="11"/>
        <color theme="10"/>
        <rFont val="Calibri"/>
        <family val="2"/>
        <scheme val="minor"/>
      </rPr>
      <t>single tenant business units</t>
    </r>
    <r>
      <rPr>
        <sz val="11"/>
        <rFont val="Calibri"/>
        <family val="2"/>
        <scheme val="minor"/>
      </rPr>
      <t xml:space="preserve"> in cell C31.</t>
    </r>
  </si>
  <si>
    <r>
      <rPr>
        <sz val="11"/>
        <rFont val="Calibri"/>
        <family val="2"/>
        <scheme val="minor"/>
      </rPr>
      <t>10) Enter the number of</t>
    </r>
    <r>
      <rPr>
        <u/>
        <sz val="11"/>
        <color theme="10"/>
        <rFont val="Calibri"/>
        <family val="2"/>
        <scheme val="minor"/>
      </rPr>
      <t xml:space="preserve"> multi-tenant business units </t>
    </r>
    <r>
      <rPr>
        <sz val="11"/>
        <rFont val="Calibri"/>
        <family val="2"/>
        <scheme val="minor"/>
      </rPr>
      <t>in cell C32. This is the total number of units not buildings/structures.</t>
    </r>
  </si>
  <si>
    <r>
      <rPr>
        <sz val="11"/>
        <rFont val="Calibri"/>
        <family val="2"/>
        <scheme val="minor"/>
      </rPr>
      <t xml:space="preserve">11) Enter the square footage of known </t>
    </r>
    <r>
      <rPr>
        <u/>
        <sz val="11"/>
        <color theme="10"/>
        <rFont val="Calibri"/>
        <family val="2"/>
        <scheme val="minor"/>
      </rPr>
      <t>single tenant business units</t>
    </r>
    <r>
      <rPr>
        <sz val="11"/>
        <rFont val="Calibri"/>
        <family val="2"/>
        <scheme val="minor"/>
      </rPr>
      <t xml:space="preserve"> in cell B33.  This value is based on 1 business per 9000 square ft.</t>
    </r>
  </si>
  <si>
    <r>
      <rPr>
        <sz val="11"/>
        <rFont val="Calibri"/>
        <family val="2"/>
        <scheme val="minor"/>
      </rPr>
      <t xml:space="preserve">12) Enter the square footage of known </t>
    </r>
    <r>
      <rPr>
        <u/>
        <sz val="11"/>
        <color theme="10"/>
        <rFont val="Calibri"/>
        <family val="2"/>
        <scheme val="minor"/>
      </rPr>
      <t xml:space="preserve">multi-tenant business units </t>
    </r>
    <r>
      <rPr>
        <sz val="11"/>
        <rFont val="Calibri"/>
        <family val="2"/>
        <scheme val="minor"/>
      </rPr>
      <t>in cell B34.  This value is based on 1 business per 9000 square ft.</t>
    </r>
  </si>
  <si>
    <r>
      <rPr>
        <sz val="11"/>
        <rFont val="Calibri"/>
        <family val="2"/>
        <scheme val="minor"/>
      </rPr>
      <t>13) Enter the number of</t>
    </r>
    <r>
      <rPr>
        <u/>
        <sz val="11"/>
        <color theme="10"/>
        <rFont val="Calibri"/>
        <family val="2"/>
        <scheme val="minor"/>
      </rPr>
      <t xml:space="preserve"> E-Rate locations (Schools or Libraries)</t>
    </r>
    <r>
      <rPr>
        <sz val="11"/>
        <rFont val="Calibri"/>
        <family val="2"/>
        <scheme val="minor"/>
      </rPr>
      <t xml:space="preserve"> in this PSA in cell C35. </t>
    </r>
  </si>
  <si>
    <r>
      <rPr>
        <sz val="11"/>
        <rFont val="Calibri"/>
        <family val="2"/>
        <scheme val="minor"/>
      </rPr>
      <t xml:space="preserve">16) Enter the number of DPUs needed as per the CCU requirements for a G.FAST agreement.  See G.FAST practice for more details: </t>
    </r>
    <r>
      <rPr>
        <u/>
        <sz val="11"/>
        <color theme="10"/>
        <rFont val="Calibri"/>
        <family val="2"/>
        <scheme val="minor"/>
      </rPr>
      <t xml:space="preserve"> ATT-TELCO-002-600-706</t>
    </r>
  </si>
  <si>
    <t>Optical Budget Instructions</t>
  </si>
  <si>
    <t>1)  Select the type of optics.  XGSPON or GPON. Cell D6.</t>
  </si>
  <si>
    <t>3) Select if you plan to use an SFCM7 in the future then select 'Yes'.  Cell F9</t>
  </si>
  <si>
    <t>4) Select if you plan to use an SFCM6 in the future then select 'Yes'.  You must have an SFCM7 to use an SFCM6.  If the SFCM6 is deployed, then EML for 1550 isn't valid.  Cell F10</t>
  </si>
  <si>
    <t>5) Input in Kilofeet (Kft) feeder fiber length from OLT to the PFP.  Cell I7.</t>
  </si>
  <si>
    <t>6) Update Average distance between splices for feeder cable if needed.  Default is 4Kft.  Cell I8.</t>
  </si>
  <si>
    <t>7) Select number of OPTITIP connectors from dropdown.  Cell I9.</t>
  </si>
  <si>
    <t>8) Enter estimated longest Distribution fiber length from PFP to FST.  Cell I10.</t>
  </si>
  <si>
    <t>Enter Data in Yellow fields.</t>
  </si>
  <si>
    <t>CFAS Number:</t>
  </si>
  <si>
    <t>Project Description:</t>
  </si>
  <si>
    <t>Select Region:</t>
  </si>
  <si>
    <t>What is triggering the PFP</t>
  </si>
  <si>
    <t>Optical Budget Calculator:</t>
  </si>
  <si>
    <t>BroadBand Subs in build area</t>
  </si>
  <si>
    <t>LEIS Web Links</t>
  </si>
  <si>
    <t>Are other PON services anticipated in the next year?</t>
  </si>
  <si>
    <t>FiberWise - Add SFCM7:</t>
  </si>
  <si>
    <t>Optitip Connectors in lieu of splices:</t>
  </si>
  <si>
    <t>FiberWise - Add SFCM6:</t>
  </si>
  <si>
    <t>Distribution Length (kft) - PFP to FST:</t>
  </si>
  <si>
    <r>
      <t xml:space="preserve">Max. Feeder + Splitter EML - Engineered Measured Loss (dBm) for </t>
    </r>
    <r>
      <rPr>
        <b/>
        <sz val="11"/>
        <color rgb="FFFF0000"/>
        <rFont val="Calibri"/>
        <family val="2"/>
        <scheme val="minor"/>
      </rPr>
      <t>1310</t>
    </r>
    <r>
      <rPr>
        <sz val="11"/>
        <rFont val="Calibri"/>
        <family val="2"/>
        <scheme val="minor"/>
      </rPr>
      <t xml:space="preserve"> nm down-stream from distribution side of PFP splitter to OSP fiber panel at OLT location</t>
    </r>
  </si>
  <si>
    <t>PFP Sizing:</t>
  </si>
  <si>
    <r>
      <t xml:space="preserve">Max. Feeder + Splitter EML - Engineered Measured Loss (dBm) for </t>
    </r>
    <r>
      <rPr>
        <b/>
        <sz val="11"/>
        <color rgb="FFFF00FF"/>
        <rFont val="Calibri"/>
        <family val="2"/>
        <scheme val="minor"/>
      </rPr>
      <t>1550</t>
    </r>
    <r>
      <rPr>
        <sz val="11"/>
        <rFont val="Calibri"/>
        <family val="2"/>
        <scheme val="minor"/>
      </rPr>
      <t xml:space="preserve"> nm (XGSPON) </t>
    </r>
    <r>
      <rPr>
        <b/>
        <sz val="11"/>
        <color rgb="FFFF00FF"/>
        <rFont val="Calibri"/>
        <family val="2"/>
        <scheme val="minor"/>
      </rPr>
      <t>1490</t>
    </r>
    <r>
      <rPr>
        <sz val="11"/>
        <rFont val="Calibri"/>
        <family val="2"/>
        <scheme val="minor"/>
      </rPr>
      <t xml:space="preserve"> nm (GPON) upstream from OSP fiber panel at OLT location to distribution side of PFP splitter</t>
    </r>
  </si>
  <si>
    <t>Distribution F2 EML - PFP to FST for 1310nm</t>
  </si>
  <si>
    <t>Distribution F2 EML - PFP to FST for 1550nm (XGSPON)/1490nm (GPON)</t>
  </si>
  <si>
    <t>Will RDP be used?</t>
  </si>
  <si>
    <t>Total EML OLT to FST for 1310nm</t>
  </si>
  <si>
    <t>Can a Retrofit be used?</t>
  </si>
  <si>
    <t>Total EML OLT to FST for 1550nm (XGSPON)/1490nm (GPON)</t>
  </si>
  <si>
    <t>GreenField</t>
  </si>
  <si>
    <t>Notes</t>
  </si>
  <si>
    <r>
      <t>Greenfield SFUs</t>
    </r>
    <r>
      <rPr>
        <b/>
        <vertAlign val="superscript"/>
        <sz val="11"/>
        <color theme="1"/>
        <rFont val="Calibri"/>
        <family val="2"/>
        <scheme val="minor"/>
      </rPr>
      <t>1, 2</t>
    </r>
  </si>
  <si>
    <r>
      <t>Greenfield MDUs</t>
    </r>
    <r>
      <rPr>
        <b/>
        <vertAlign val="superscript"/>
        <sz val="11"/>
        <color theme="1"/>
        <rFont val="Calibri"/>
        <family val="2"/>
        <scheme val="minor"/>
      </rPr>
      <t>1, 2</t>
    </r>
  </si>
  <si>
    <t>LightGig/Overbuild</t>
  </si>
  <si>
    <t>Units in PSA on Build Plan</t>
  </si>
  <si>
    <t>Living Units in PSA NOT on Build Plan</t>
  </si>
  <si>
    <r>
      <t>Overbuild SFU</t>
    </r>
    <r>
      <rPr>
        <b/>
        <vertAlign val="superscript"/>
        <sz val="11"/>
        <color theme="1"/>
        <rFont val="Calibri"/>
        <family val="2"/>
        <scheme val="minor"/>
      </rPr>
      <t>1, 2, 5</t>
    </r>
  </si>
  <si>
    <r>
      <t>Overbuild MDU</t>
    </r>
    <r>
      <rPr>
        <b/>
        <vertAlign val="superscript"/>
        <sz val="11"/>
        <color theme="1"/>
        <rFont val="Calibri"/>
        <family val="2"/>
        <scheme val="minor"/>
      </rPr>
      <t>1, 2, 5</t>
    </r>
  </si>
  <si>
    <t>Businesses</t>
  </si>
  <si>
    <t>Number of Buildings</t>
  </si>
  <si>
    <r>
      <t>Known Standalone BUs</t>
    </r>
    <r>
      <rPr>
        <b/>
        <vertAlign val="superscript"/>
        <sz val="11"/>
        <color theme="1"/>
        <rFont val="Calibri"/>
        <family val="2"/>
        <scheme val="minor"/>
      </rPr>
      <t>3</t>
    </r>
  </si>
  <si>
    <r>
      <t>Known Multi Tenant BUs</t>
    </r>
    <r>
      <rPr>
        <b/>
        <vertAlign val="superscript"/>
        <sz val="11"/>
        <color theme="1"/>
        <rFont val="Calibri"/>
        <family val="2"/>
        <scheme val="minor"/>
      </rPr>
      <t>3</t>
    </r>
  </si>
  <si>
    <r>
      <t>0-10,000 SqFt BUs</t>
    </r>
    <r>
      <rPr>
        <b/>
        <vertAlign val="superscript"/>
        <sz val="11"/>
        <color theme="1"/>
        <rFont val="Calibri"/>
        <family val="2"/>
        <scheme val="minor"/>
      </rPr>
      <t xml:space="preserve">3
</t>
    </r>
    <r>
      <rPr>
        <b/>
        <sz val="11"/>
        <color theme="1"/>
        <rFont val="Calibri"/>
        <family val="2"/>
        <scheme val="minor"/>
      </rPr>
      <t>0-10,000 SqFt Warehouse</t>
    </r>
    <r>
      <rPr>
        <b/>
        <vertAlign val="superscript"/>
        <sz val="11"/>
        <color theme="1"/>
        <rFont val="Calibri"/>
        <family val="2"/>
        <scheme val="minor"/>
      </rPr>
      <t>3</t>
    </r>
  </si>
  <si>
    <r>
      <t>10,001-20,000 SqFt BUs</t>
    </r>
    <r>
      <rPr>
        <b/>
        <vertAlign val="superscript"/>
        <sz val="11"/>
        <color theme="1"/>
        <rFont val="Calibri"/>
        <family val="2"/>
        <scheme val="minor"/>
      </rPr>
      <t>3</t>
    </r>
    <r>
      <rPr>
        <b/>
        <sz val="11"/>
        <color theme="1"/>
        <rFont val="Calibri"/>
        <family val="2"/>
        <scheme val="minor"/>
      </rPr>
      <t xml:space="preserve">
Warehouse &gt;10,000 SqFt</t>
    </r>
    <r>
      <rPr>
        <b/>
        <vertAlign val="superscript"/>
        <sz val="11"/>
        <color theme="1"/>
        <rFont val="Calibri"/>
        <family val="2"/>
        <scheme val="minor"/>
      </rPr>
      <t>3</t>
    </r>
  </si>
  <si>
    <r>
      <t>&gt;20,000 SqFt BUs</t>
    </r>
    <r>
      <rPr>
        <b/>
        <vertAlign val="superscript"/>
        <sz val="11"/>
        <color theme="1"/>
        <rFont val="Calibri"/>
        <family val="2"/>
        <scheme val="minor"/>
      </rPr>
      <t xml:space="preserve">3
</t>
    </r>
    <r>
      <rPr>
        <b/>
        <sz val="11"/>
        <color theme="1"/>
        <rFont val="Calibri"/>
        <family val="2"/>
        <scheme val="minor"/>
      </rPr>
      <t>(no Warehouses - See Note)</t>
    </r>
    <r>
      <rPr>
        <b/>
        <vertAlign val="superscript"/>
        <sz val="11"/>
        <color theme="1"/>
        <rFont val="Calibri"/>
        <family val="2"/>
        <scheme val="minor"/>
      </rPr>
      <t>3</t>
    </r>
  </si>
  <si>
    <r>
      <t xml:space="preserve">E-Rate locations </t>
    </r>
    <r>
      <rPr>
        <b/>
        <sz val="8"/>
        <color theme="1"/>
        <rFont val="Calibri"/>
        <family val="2"/>
        <scheme val="minor"/>
      </rPr>
      <t>(Schools/Libraries)</t>
    </r>
  </si>
  <si>
    <r>
      <t>CRAN</t>
    </r>
    <r>
      <rPr>
        <b/>
        <vertAlign val="superscript"/>
        <sz val="11"/>
        <color theme="1"/>
        <rFont val="Calibri"/>
        <family val="2"/>
        <scheme val="minor"/>
      </rPr>
      <t>4</t>
    </r>
  </si>
  <si>
    <t>G.FAST (All Splitters are 1X8)</t>
  </si>
  <si>
    <t xml:space="preserve">Units in PSA served by G.FAST </t>
  </si>
  <si>
    <t># of DPUs needed</t>
  </si>
  <si>
    <t>CCU G.FAST Agreement</t>
  </si>
  <si>
    <r>
      <t>Pass-Thru %</t>
    </r>
    <r>
      <rPr>
        <vertAlign val="superscript"/>
        <sz val="11"/>
        <color theme="1"/>
        <rFont val="Calibri"/>
        <family val="2"/>
        <scheme val="minor"/>
      </rPr>
      <t>6</t>
    </r>
  </si>
  <si>
    <t>Notes for default Pass-Thur % change:</t>
  </si>
  <si>
    <t>Optional Retrofit PFP</t>
  </si>
  <si>
    <r>
      <rPr>
        <sz val="11"/>
        <rFont val="Calibri"/>
        <family val="2"/>
        <scheme val="minor"/>
      </rPr>
      <t xml:space="preserve">Note 1:   Sizing based on </t>
    </r>
    <r>
      <rPr>
        <u/>
        <sz val="11"/>
        <color theme="10"/>
        <rFont val="Calibri"/>
        <family val="2"/>
        <scheme val="minor"/>
      </rPr>
      <t>ATT-TELCO-002-206-003 section 3.2.1.2.</t>
    </r>
    <r>
      <rPr>
        <sz val="11"/>
        <rFont val="Calibri"/>
        <family val="2"/>
        <scheme val="minor"/>
      </rPr>
      <t xml:space="preserve"> for this type of LU.</t>
    </r>
  </si>
  <si>
    <r>
      <rPr>
        <sz val="11"/>
        <rFont val="Calibri"/>
        <family val="2"/>
        <scheme val="minor"/>
      </rPr>
      <t xml:space="preserve">Note 3:  Sizing based on </t>
    </r>
    <r>
      <rPr>
        <u/>
        <sz val="11"/>
        <color theme="10"/>
        <rFont val="Calibri"/>
        <family val="2"/>
        <scheme val="minor"/>
      </rPr>
      <t>ATT-TELCO-002-206-003 section 3.2.1.2.2</t>
    </r>
    <r>
      <rPr>
        <sz val="11"/>
        <rFont val="Calibri"/>
        <family val="2"/>
        <scheme val="minor"/>
      </rPr>
      <t xml:space="preserve"> for this type of BU.</t>
    </r>
  </si>
  <si>
    <r>
      <rPr>
        <sz val="11"/>
        <rFont val="Calibri"/>
        <family val="2"/>
        <scheme val="minor"/>
      </rPr>
      <t xml:space="preserve">Note 5:  18% increase has been added to ensure fiber requirements do not exceed 85% of the PFP distribution fiber capacity as per </t>
    </r>
    <r>
      <rPr>
        <u/>
        <sz val="11"/>
        <color theme="10"/>
        <rFont val="Calibri"/>
        <family val="2"/>
        <scheme val="minor"/>
      </rPr>
      <t>ATT-TELCO-002-600-699 section 3.</t>
    </r>
  </si>
  <si>
    <r>
      <rPr>
        <sz val="11"/>
        <rFont val="Calibri"/>
        <family val="2"/>
        <scheme val="minor"/>
      </rPr>
      <t xml:space="preserve">Note 6:  Sizing based on </t>
    </r>
    <r>
      <rPr>
        <u/>
        <sz val="11"/>
        <color theme="10"/>
        <rFont val="Calibri"/>
        <family val="2"/>
        <scheme val="minor"/>
      </rPr>
      <t>ATT-TELCO-002-600-699 section 2.1</t>
    </r>
    <r>
      <rPr>
        <sz val="11"/>
        <rFont val="Calibri"/>
        <family val="2"/>
        <scheme val="minor"/>
      </rPr>
      <t>. pass through fibers.</t>
    </r>
  </si>
  <si>
    <t>Additional Notes:</t>
  </si>
  <si>
    <t>Version 1 (5/21/2018):</t>
  </si>
  <si>
    <t>Initial deployment</t>
  </si>
  <si>
    <t>Version 2 (6/1/2018):</t>
  </si>
  <si>
    <t>Changed total splitters required on Initial turn up formula to calculate only 25% for businesses and corrected forumla to only calculate 2 splitters for greenfield when not a CCU.</t>
  </si>
  <si>
    <r>
      <t>"=IF(ISNUMBER(E31),(IF(AND(NOT(AND(OR(ISBLANK(C9),C9=0,AND(D9&lt;&gt;0,NOT(ISBLANK(D9)))),OR(ISBLANK(C10),C10=0,AND(D10&lt;&gt;0,NOT(ISBLANK(D10)))),OR(ISBLANK(C18),C18=0),OR(ISBLANK(C19),C19=0),OR(ISBLANK(C20),C20=0),OR(ISBLANK(C21),C21=0),OR(ISBLANK(C22),C22=0))),OR(ISBLANK(B14),B14=0)),E26,0))+ROUNDUP(((B14*D14)/B4)+(IF(OR(ISBLANK(D10),D10=0),(C10*D10)/B4,C10/B4))+(IF(OR(ISBLANK(D9),D9=0),(C9*D9)/B4,C9/B4))+(SUM(C18:C22)*0.25/B4),0),E31)" to "</t>
    </r>
    <r>
      <rPr>
        <sz val="11"/>
        <color rgb="FFFF0000"/>
        <rFont val="Calibri"/>
        <family val="2"/>
        <scheme val="minor"/>
      </rPr>
      <t>=IF(ISNUMBER(E31),IF(ROUND((IF(OR(AND(OR(D9=0,ISBLANK(D9)),NOT(C9=0)),AND(OR(D10=0,ISBLANK(D10)),NOT(C10=0))),E26,0))+ROUNDUP(((B14*D14)/B4)+((C10*D10)/B4)+((C9*D9)/B4),0)+(SUM(C18:C22)*0.25/B4),0)&lt;E26,E26,ROUND((IF(OR(AND(OR(D9=0,ISBLANK(D9)),NOT(C9=0)),AND(OR(D10=0,ISBLANK(D10)),NOT(C10=0))),E26,0))+ROUNDUP(((B14*D14)/B4)+((C10*D10)/B4)+((C9*D9)/B4),0)+(SUM(C18:C22)*0.25/B4),0)),E31)</t>
    </r>
    <r>
      <rPr>
        <sz val="11"/>
        <rFont val="Calibri"/>
        <family val="2"/>
        <scheme val="minor"/>
      </rPr>
      <t>"</t>
    </r>
  </si>
  <si>
    <t>Version 3 (6/6/2018)</t>
  </si>
  <si>
    <t>a) Changed the PFP sizing logic in Cell E31 to reflect the following changes so that the correct reason for splitting shows up.</t>
  </si>
  <si>
    <r>
      <t>"=IF(B4="Enter Split Ratio Here","Enter Split Ratio Above",(IF(B5="Enter PFP Type Here","Enter PFP Type Above",(IF(E24=0,"Enter Sizing Data",(IF(B4=</t>
    </r>
    <r>
      <rPr>
        <strike/>
        <sz val="11"/>
        <color rgb="FFFF0000"/>
        <rFont val="Calibri"/>
        <family val="2"/>
        <scheme val="minor"/>
      </rPr>
      <t xml:space="preserve">"1X32" </t>
    </r>
    <r>
      <rPr>
        <sz val="11"/>
        <color rgb="FFFF0000"/>
        <rFont val="Calibri"/>
        <family val="2"/>
        <scheme val="minor"/>
      </rPr>
      <t>32</t>
    </r>
    <r>
      <rPr>
        <sz val="11"/>
        <color theme="1"/>
        <rFont val="Calibri"/>
        <family val="2"/>
        <scheme val="minor"/>
      </rPr>
      <t>,(IF(AND(B5="POLE/WALL",E24&lt;=96,E30&lt;=24),96,(IF(AND(E24&lt;=144,E30&lt;=15),144,(IF(AND(E24&lt;=288,E30&lt;=36),288,(IF(AND(E24&lt;=432,OR(AND(E30&lt;=121,B5="PAD"),AND(E30&lt;=36,OR(B5="POLE/WALL",B5="RACK")))),432,(IF(AND(E24&lt;576,OR(B5="POLE/WALL",B5="RACK"),E30&lt;=36),576,(IF(AND(E24&lt;864,OR(AND(B5="PAD",E30&lt;=252),AND(B5="RACK",E30&lt;=36))),864,"The number of distribution fibers exceeds the maximum PFP capacity.  You must split the PSA")))))))))))),IF(AND(E24&lt;=96,E29&lt;=6,E30&lt;=24,B5="POLE/WALL"),96,IF(AND(E24&lt;=144,E29&lt;=7,E30&lt;=15),144,IF(AND(E24&lt;=288,OR(AND(E29&lt;=18,OR(B5="PAD",B5="POLE/WALL")),AND(B5="RACK",E29&lt;=13)),E30&lt;=36),288,IF(AND(E24&lt;=432,OR(AND(E29&lt;=23,OR(B5="PAD",B5="POLE/WALL")),AND(E29&lt;=17,B5="RACK")),OR(AND(E30&lt;=121,B5="PAD"),AND(E30&lt;=36,OR(B5="POLE/WALL",B5="RACK")))),432,IF(AND(E24&lt;=576,OR(AND(E29&lt;=23,OR(B5="PAD",B5="POLE/WALL")),AND(E29&lt;=33,B5="RACK")),OR(B5="POLE/WALL",B5="RACK"),E30&lt;=36),576,IF(AND(E24&lt;=864,OR(AND(B5="PAD",E30&lt;=252,E29&lt;=36),AND(B5="RACK",E30&lt;=36,E29&lt;=33))),864,"The ultimate number of splitters required exceeds the maximum capacity of a PFP.  You must split the PSA")))))))))))))"</t>
    </r>
  </si>
  <si>
    <t>b) Change format so the notes column is easier to read.</t>
  </si>
  <si>
    <t>Version 4 (6/12/2018)</t>
  </si>
  <si>
    <r>
      <t xml:space="preserve">a) Change the CCU Take Rate column title for greenfield to </t>
    </r>
    <r>
      <rPr>
        <sz val="11"/>
        <color rgb="FFFF0000"/>
        <rFont val="Calibri"/>
        <family val="2"/>
        <scheme val="minor"/>
      </rPr>
      <t>CCU/1 Yr Take Rate.</t>
    </r>
  </si>
  <si>
    <t xml:space="preserve">b) Updated Note 2 on PFP Sizing Sheet:  Added the following:  Where a take rate greater than the default is shown, it is based upon 1 years growth for the area. </t>
  </si>
  <si>
    <t>c) Changed instructions tab item 3 and 4 to say:   Enter 1 year's take rate for this PSA in cell Dx or if there is a CCU contract for this development enter the greater value between the CCU contract take rate and the 1 year take rate.</t>
  </si>
  <si>
    <t>Version 5 (6/15/2018)</t>
  </si>
  <si>
    <t>Further refine the initial splitter calculation</t>
  </si>
  <si>
    <r>
      <t xml:space="preserve">"=IF(ISNUMBER(E31),IF(ROUND((IF(OR(AND(OR(D9=0,ISBLANK(D9)),NOT(C9=0)),AND(OR(D10=0,ISBLANK(D10)),NOT(C10=0))),E26,0))+ROUNDUP(((B14*D14)/B4)+((C10*D10)/B4)+((C9*D9)/B4),0)+(SUM(C18:C22)*0.25/B4),0)&lt;E26,E26,ROUND((IF(OR(AND(OR(D9=0,ISBLANK(D9)),NOT(C9=0)),AND(OR(D10=0,ISBLANK(D10)),NOT(C10=0))),E26,0))+ROUNDUP(((B14*D14)/B4)+((C10*D10)/B4)+((C9*D9)/B4),0)+(SUM(C18:C22)*0.25/B4),0)),E31)" to </t>
    </r>
    <r>
      <rPr>
        <sz val="11"/>
        <color rgb="FFFF0000"/>
        <rFont val="Calibri"/>
        <family val="2"/>
        <scheme val="minor"/>
      </rPr>
      <t>"=IF(ISNUMBER(E31),IF(ROUNDUP((IF(OR(AND(OR(D9=0,ISBLANK(D9)),NOT(C9=0)),AND(OR(D10=0,ISBLANK(D10)),NOT(C10=0))),E26,0))+((B14*D14)/B4)+((C10*D10)/B4)+((C9*D9)/B4)+(SUM(C18:C22)*0.25/B4),0)&lt;E26,E26,ROUNDUP((IF(OR(AND(OR(D9=0,ISBLANK(D9)),NOT(C9=0)),AND(OR(D10=0,ISBLANK(D10)),NOT(C10=0))),E26,0))+((B14*D14)/B4)+((C10*D10)/B4)+((C9*D9)/B4)+(SUM(C18:C22)*0.25/B4),0)),E31)"</t>
    </r>
  </si>
  <si>
    <t>Version 6 (7/16/2018)</t>
  </si>
  <si>
    <t>a) Further refine the initial splitter calculation</t>
  </si>
  <si>
    <r>
      <t>"=IF(ISNUMBER(E31),IF(ROUNDUP((IF(OR(AND(OR(D9=0,ISBLANK(D9)),NOT(C9=0)),AND(OR(D10=0,ISBLANK(D10)),NOT(C10=0))),E26,0))+((B14*D14)/B4)+((C10*D10)/B4)+((C9*D9)/B4)+(SUM(C18:C22)*0.25/B4),0)&lt;E26,E26,ROUNDUP((IF(OR(AND(OR(D9=0,ISBLANK(D9)),NOT(C9=0)),AND(OR(D10=0,ISBLANK(D10)),NOT(C10=0))),E26,0))+((B14*D14)/B4)+((C10*D10)/B4)+((C9*D9)/B4)+</t>
    </r>
    <r>
      <rPr>
        <sz val="11"/>
        <color rgb="FFFF0000"/>
        <rFont val="Calibri"/>
        <family val="2"/>
        <scheme val="minor"/>
      </rPr>
      <t>ROUND(</t>
    </r>
    <r>
      <rPr>
        <sz val="11"/>
        <color theme="1"/>
        <rFont val="Calibri"/>
        <family val="2"/>
        <scheme val="minor"/>
      </rPr>
      <t>(SUM(C18:C22)*0.25/B4)</t>
    </r>
    <r>
      <rPr>
        <sz val="11"/>
        <color rgb="FFFF0000"/>
        <rFont val="Calibri"/>
        <family val="2"/>
        <scheme val="minor"/>
      </rPr>
      <t>,0)</t>
    </r>
    <r>
      <rPr>
        <sz val="11"/>
        <color theme="1"/>
        <rFont val="Calibri"/>
        <family val="2"/>
        <scheme val="minor"/>
      </rPr>
      <t>,0)),E31)"</t>
    </r>
  </si>
  <si>
    <t>b)  Corrected all cell references on Instructions tab.</t>
  </si>
  <si>
    <t>Version 7 (12/13/2018)</t>
  </si>
  <si>
    <t>Added zero demand decision guide/reminder</t>
  </si>
  <si>
    <t>Version 8 (12/31/2018)</t>
  </si>
  <si>
    <t>Added Field for CFAS number and optional project description.</t>
  </si>
  <si>
    <t>Version 9 (4/17/2019)</t>
  </si>
  <si>
    <t>Refined PFP sizing logic for a PFP32 and output notes:</t>
  </si>
  <si>
    <r>
      <t>"=IF(B12="Enter Split Ratio Here","Enter Split Ratio Above",(IF(B13="Enter PFP Type Here","Enter PFP Type Above",(IF(E32=0,"Enter Sizing Data",(IF(B12=32,</t>
    </r>
    <r>
      <rPr>
        <sz val="11"/>
        <color rgb="FFFF0000"/>
        <rFont val="Calibri"/>
        <family val="2"/>
        <scheme val="minor"/>
      </rPr>
      <t>(IF(AND(B13="POLE/WALL",E33&lt;=32,E39&lt;=0),32,</t>
    </r>
    <r>
      <rPr>
        <sz val="11"/>
        <color theme="1"/>
        <rFont val="Calibri"/>
        <family val="2"/>
        <scheme val="minor"/>
      </rPr>
      <t>(IF(AND(B13="POLE/WALL",E32&lt;=96,E38&lt;=24),96,(IF(AND(E32&lt;=144,E38&lt;=15),144,(IF(AND(E32&lt;=288,E38&lt;=36),288,(IF(AND(E32&lt;=432,OR(AND(E38&lt;=121,B13="PAD"),AND(E38&lt;=36,OR(B13="POLE/WALL",B13="RACK")))),432,(IF(AND(E32&lt;</t>
    </r>
    <r>
      <rPr>
        <sz val="11"/>
        <color rgb="FFFF0000"/>
        <rFont val="Calibri"/>
        <family val="2"/>
        <scheme val="minor"/>
      </rPr>
      <t>=</t>
    </r>
    <r>
      <rPr>
        <sz val="11"/>
        <color theme="1"/>
        <rFont val="Calibri"/>
        <family val="2"/>
        <scheme val="minor"/>
      </rPr>
      <t>576,OR(B13="POLE/WALL",B13="RACK"),E38&lt;=36),576,(IF(AND(E32&lt;</t>
    </r>
    <r>
      <rPr>
        <sz val="11"/>
        <color rgb="FFFF0000"/>
        <rFont val="Calibri"/>
        <family val="2"/>
        <scheme val="minor"/>
      </rPr>
      <t>=</t>
    </r>
    <r>
      <rPr>
        <sz val="11"/>
        <color theme="1"/>
        <rFont val="Calibri"/>
        <family val="2"/>
        <scheme val="minor"/>
      </rPr>
      <t xml:space="preserve">864,OR(AND(B13="PAD",E38&lt;=252),AND(B13="RACK",E38&lt;=36))),864,"The number of distribution fibers  </t>
    </r>
    <r>
      <rPr>
        <sz val="11"/>
        <color rgb="FFFF0000"/>
        <rFont val="Calibri"/>
        <family val="2"/>
        <scheme val="minor"/>
      </rPr>
      <t>or pass thru fibers</t>
    </r>
    <r>
      <rPr>
        <sz val="11"/>
        <color theme="1"/>
        <rFont val="Calibri"/>
        <family val="2"/>
        <scheme val="minor"/>
      </rPr>
      <t xml:space="preserve"> exceeds the maximum PFP capacity.  You must split the PSA")))))))))))))),</t>
    </r>
    <r>
      <rPr>
        <sz val="11"/>
        <color rgb="FFFF0000"/>
        <rFont val="Calibri"/>
        <family val="2"/>
        <scheme val="minor"/>
      </rPr>
      <t>IF(AND(E33&lt;=32,E38&lt;=1,E39&lt;=0,B13="POLE/WALL"),32,</t>
    </r>
    <r>
      <rPr>
        <sz val="11"/>
        <color theme="1"/>
        <rFont val="Calibri"/>
        <family val="2"/>
        <scheme val="minor"/>
      </rPr>
      <t xml:space="preserve">IF(AND(E32&lt;=96,E37&lt;=6,E38&lt;=24,B13="POLE/WALL"),96,IF(AND(E32&lt;=144,E37&lt;=7,E38&lt;=15),144,IF(AND(E32&lt;=288,OR(AND(E37&lt;=18,OR(B13="PAD",B13="POLE/WALL")),AND(B13="RACK",E37&lt;=13)),E38&lt;=36),288,IF(AND(E32&lt;=432,OR(AND(E37&lt;=23,OR(B13="PAD",B13="POLE/WALL")),AND(E37&lt;=17,B13="RACK")),OR(AND(E38&lt;=121,B13="PAD"),AND(E38&lt;=36,OR(B13="POLE/WALL",B13="RACK")))),432,IF(AND(E32&lt;=576,OR(AND(E37&lt;=23,OR(B13="PAD",B13="POLE/WALL")),AND(E37&lt;=33,B13="RACK")),OR(B13="POLE/WALL",B13="RACK"),E38&lt;=36),576,IF(AND(E32&lt;=864,OR(AND(B13="PAD",E38&lt;=252,E37&lt;=36),AND(B13="RACK",E38&lt;=36,E37&lt;=33))),864,"The ultimate number of </t>
    </r>
    <r>
      <rPr>
        <sz val="11"/>
        <color rgb="FFFF0000"/>
        <rFont val="Calibri"/>
        <family val="2"/>
        <scheme val="minor"/>
      </rPr>
      <t>splitters , distribution fibers, or pass thru fibers has</t>
    </r>
    <r>
      <rPr>
        <sz val="11"/>
        <color theme="1"/>
        <rFont val="Calibri"/>
        <family val="2"/>
        <scheme val="minor"/>
      </rPr>
      <t xml:space="preserve"> exceed</t>
    </r>
    <r>
      <rPr>
        <sz val="11"/>
        <color rgb="FFFF0000"/>
        <rFont val="Calibri"/>
        <family val="2"/>
        <scheme val="minor"/>
      </rPr>
      <t>ed</t>
    </r>
    <r>
      <rPr>
        <sz val="11"/>
        <color theme="1"/>
        <rFont val="Calibri"/>
        <family val="2"/>
        <scheme val="minor"/>
      </rPr>
      <t xml:space="preserve"> the maximum capacity of a PFP.  You must split the PSA"))))))))))))))"</t>
    </r>
  </si>
  <si>
    <t>b) Added logic for sizing an Optional Retrofit solution</t>
  </si>
  <si>
    <r>
      <t>"</t>
    </r>
    <r>
      <rPr>
        <sz val="11"/>
        <color rgb="FFFF0000"/>
        <rFont val="Calibri"/>
        <family val="2"/>
        <scheme val="minor"/>
      </rPr>
      <t>=IF(B14="Yes/No","Enter Response to 3M Retrofit Ques. Above.",IF(B14="Yes",(IF(B12="Enter Split Ratio Here","Enter Split Ratio Above",(IF(B13="Enter PFP Type Here","Enter PFP Type Above",(IF(E33=0,"Enter Sizing Data", (IF(B12=32,(IF(AND(E33&lt;=288,E39&lt;=48), 288, (IF(AND(E33&lt;=432,E39&lt;=72), 432, (IF(AND(E33&lt;=576, E39&lt;=144), 576, (IF(AND(E33&lt;=864,E39&lt;=144),864,"The number of distribution fibers or pass thru fibers exceeds the maximum PFP capacity.  Do Not use 3M Retrofit.")))))))),IF(AND(E33&lt;=288,E39&lt;=48,E38&lt;=9),288,IF(AND(E33&lt;=432,E39&lt;=72,E38&lt;=11),432,IF(AND(E33&lt;=576,E39&lt;=144,E38&lt;=14),576,IF(AND(E33&lt;=864,E39&lt;=144,E38&lt;=21),864,"The ultimate number of splitters, distribution fibers, or pass thru fibers has exceeded the maximum capacity of a PFP.  Do not use 3M Retrofit.")))))))))))),"Do not use 3M Retrofit."))</t>
    </r>
    <r>
      <rPr>
        <sz val="11"/>
        <rFont val="Calibri"/>
        <family val="2"/>
        <scheme val="minor"/>
      </rPr>
      <t>"</t>
    </r>
  </si>
  <si>
    <r>
      <t>c) 18% multiplier added to ensure business unit limit is not exceeded.  Only added to multi-tenant locations since that is the only possible section to exceed BU limit.
Cell E28 changed to: =ROUNDUP((C28*2)</t>
    </r>
    <r>
      <rPr>
        <sz val="11"/>
        <color rgb="FFFF0000"/>
        <rFont val="Calibri"/>
        <family val="2"/>
        <scheme val="minor"/>
      </rPr>
      <t>*1.18</t>
    </r>
    <r>
      <rPr>
        <sz val="11"/>
        <color theme="1"/>
        <rFont val="Calibri"/>
        <family val="2"/>
        <scheme val="minor"/>
      </rPr>
      <t>,0)
Cell E30 changed to: =ROUNDUP((C30*2)</t>
    </r>
    <r>
      <rPr>
        <sz val="11"/>
        <color rgb="FFFF0000"/>
        <rFont val="Calibri"/>
        <family val="2"/>
        <scheme val="minor"/>
      </rPr>
      <t>*1.18</t>
    </r>
    <r>
      <rPr>
        <sz val="11"/>
        <color theme="1"/>
        <rFont val="Calibri"/>
        <family val="2"/>
        <scheme val="minor"/>
      </rPr>
      <t>,0)</t>
    </r>
  </si>
  <si>
    <t>d) Added option to adjust the default % take rate for pass thrus along with a note section.</t>
  </si>
  <si>
    <t>e) Add a section for additional notes.</t>
  </si>
  <si>
    <t>f) Change instructions tab to include Optional Retrofit question and to adjust cell values entries for all fields trailing the retrofit question.  Added instructions for adjusting default % take rate for pass thrus.</t>
  </si>
  <si>
    <t>Version 10 (5/2/2019)</t>
  </si>
  <si>
    <t>Removed requirement for FOB sizing to be in 7 Major Markets.</t>
  </si>
  <si>
    <t>Change CRAN sizing to 8 fiber per CRAN node.</t>
  </si>
  <si>
    <t>Version 11a (7/25/2019)</t>
  </si>
  <si>
    <t>Update for XGSPON:  Added 64 to split ration selection.</t>
  </si>
  <si>
    <t>Added logic to account for 1:64 splitters for recommeded PFP sizing.</t>
  </si>
  <si>
    <r>
      <t>"=IF(B12="Enter Split Ratio Here","Enter Split Ratio Above",(IF(B13="Enter PFP Type Here","Enter PFP Type Above",(IF(E33=0,"Enter Sizing Data",(IF(</t>
    </r>
    <r>
      <rPr>
        <sz val="11"/>
        <color rgb="FFFF0000"/>
        <rFont val="Calibri"/>
        <family val="2"/>
        <scheme val="minor"/>
      </rPr>
      <t>OR(B12=64,B12=32)</t>
    </r>
    <r>
      <rPr>
        <sz val="11"/>
        <color theme="1"/>
        <rFont val="Calibri"/>
        <family val="2"/>
        <scheme val="minor"/>
      </rPr>
      <t>,(IF(AND(B13="POLE/WALL",E33&lt;=32,E39&lt;=0),32,(IF(AND(B13="POLE/WALL",E33&lt;=96,E39&lt;=24),96,(IF(AND(E33&lt;=144,E39&lt;=15),144,(IF(AND(E33&lt;=288,E39&lt;=36),288,(IF(AND(E33&lt;=432,OR(AND(E39&lt;=121,B13="PAD"),AND(E39&lt;=36,OR(B13="POLE/WALL",B13="RACK")))),432,(IF(AND(E33&lt;=576,OR(B13="POLE/WALL",B13="RACK"),E39&lt;=36),576,(IF(AND(E33&lt;=864,OR(AND(B13="PAD",E39&lt;=252),AND(B13="RACK",E39&lt;=36))),864,"The number of distribution fibers or pass thru fibers exceeds the maximum PFP capacity.  You must split the PSA")))))))))))))),IF(AND(E33&lt;=32,E38&lt;=1,E39&lt;=0,B13="POLE/WALL"),32,IF(AND(E33&lt;=96,E38&lt;=6,E39&lt;=24,B13="POLE/WALL"),96,IF(AND(E33&lt;=144,E38&lt;=7,E39&lt;=15),144,IF(AND(E33&lt;=288,OR(AND(E38&lt;=18,OR(B13="PAD",B13="POLE/WALL")),AND(B13="RACK",E38&lt;=13)),E39&lt;=36),288,IF(AND(E33&lt;=432,OR(AND(E38&lt;=23,OR(B13="PAD",B13="POLE/WALL")),AND(E38&lt;=17,B13="RACK")),OR(AND(E39&lt;=121,B13="PAD"),AND(E39&lt;=36,OR(B13="POLE/WALL",B13="RACK")))),432,IF(AND(E33&lt;=576,OR(AND(E38&lt;=23,OR(B13="PAD",B13="POLE/WALL")),AND(E38&lt;=33,B13="RACK")),OR(B13="POLE/WALL",B13="RACK"),E39&lt;=36),576,IF(AND(E33&lt;=864,OR(AND(B13="PAD",E39&lt;=252,E38&lt;=36),AND(B13="RACK",E39&lt;=36,E38&lt;=33))),864,"The ultimate number of splitters, distribution fibers, or pass thru fibers has exceeded the maximum capacity of a PFP.  You must split the PSA"))))))))))))))"</t>
    </r>
  </si>
  <si>
    <t>Added logic to account for 1:64 splitters for rOptional 3M Retrofit PFP sizing.</t>
  </si>
  <si>
    <r>
      <t>"=IF(B14="Yes/No","Enter Response to 3M Retrofit Ques. Above.",IF(B14="Yes",(IF(B12="Enter Split Ratio Here","Enter Split Ratio Above",(IF(B13="Enter PFP Type Here","Enter PFP Type Above",(IF(E33=0,"Enter Sizing Data",(IF(</t>
    </r>
    <r>
      <rPr>
        <sz val="11"/>
        <color rgb="FFFF0000"/>
        <rFont val="Calibri"/>
        <family val="2"/>
        <scheme val="minor"/>
      </rPr>
      <t>OR(B12=64,B12=32)</t>
    </r>
    <r>
      <rPr>
        <sz val="11"/>
        <color theme="1"/>
        <rFont val="Calibri"/>
        <family val="2"/>
        <scheme val="minor"/>
      </rPr>
      <t>,(IF(AND(E33&lt;=288,E39&lt;=48),288,(IF(AND(E33&lt;=432,E39&lt;=72),432,(IF(AND(E33&lt;=576,E39&lt;=144),576,(IF(AND(E33&lt;=864,E39&lt;=144),864,"The number of distribution fibers or pass thru fibers exceeds the maximum PFP capacity.  Do Not use 3M Retrofit.")))))))),IF(AND(E33&lt;=288,E39&lt;=48,E38&lt;=9),288,IF(AND(E33&lt;=432,E39&lt;=72,E38&lt;=11),432,IF(AND(E33&lt;=576,E39&lt;=144,E38&lt;=14),576,IF(AND(E33&lt;=864,E39&lt;=144,E38&lt;=21),864,"The ultimate number of splitters, distribution fibers, or pass thru fibers has exceeded the maximum capacity of a PFP.  Do not use 3M Retrofit.")))))))))))),"Do not use 3M Retrofit."))"</t>
    </r>
  </si>
  <si>
    <t>Version 11b (7/31/2019)</t>
  </si>
  <si>
    <t>Update Total Splitters Required on Initial Turn Up Logic:</t>
  </si>
  <si>
    <r>
      <t>"</t>
    </r>
    <r>
      <rPr>
        <sz val="11"/>
        <color rgb="FFFF0000"/>
        <rFont val="Calibri"/>
        <family val="2"/>
        <scheme val="minor"/>
      </rPr>
      <t>Original</t>
    </r>
    <r>
      <rPr>
        <sz val="11"/>
        <color theme="1"/>
        <rFont val="Calibri"/>
        <family val="2"/>
        <scheme val="minor"/>
      </rPr>
      <t xml:space="preserve">=IF(ISNUMBER(E40),IF(ROUNDUP((IF(OR(AND(OR(D18=0,ISBLANK(D18)),NOT(C18=0)),AND(OR(D19=0,ISBLANK(D19)),NOT(C19=0))),E35,0))+((B23*D23)/B12)+((C19*D19)/B12)+((C18*D18)/B12)+(SUM(C27:C31)*0.25/B12),0)&lt;E35,E35,ROUNDUP((IF(OR(AND(OR(D18=0,ISBLANK(D18)),NOT(C18=0)),AND(OR(D19=0,ISBLANK(D19)),NOT(C19=0))),E35,0))+((B23*D23)/B12)+((C19*D19)/B12)+((C18*D18)/B12)+ROUNDUP((SUM(C27:C31)*0.25/B12),0),0)),E40)
</t>
    </r>
    <r>
      <rPr>
        <sz val="11"/>
        <color rgb="FFFF0000"/>
        <rFont val="Calibri"/>
        <family val="2"/>
        <scheme val="minor"/>
      </rPr>
      <t>New</t>
    </r>
    <r>
      <rPr>
        <sz val="11"/>
        <color theme="1"/>
        <rFont val="Calibri"/>
        <family val="2"/>
        <scheme val="minor"/>
      </rPr>
      <t>=IF(ISNUMBER(E40),IF(ROUNDUP((IF(OR(AND(OR(D18=0,ISBLANK(D18)),NOT(C18=0)),AND(OR(D19=0,ISBLANK(D19)),NOT(C19=0))),</t>
    </r>
    <r>
      <rPr>
        <sz val="11"/>
        <color rgb="FFFF0000"/>
        <rFont val="Calibri"/>
        <family val="2"/>
        <scheme val="minor"/>
      </rPr>
      <t>IF(B12=64,1,E35)</t>
    </r>
    <r>
      <rPr>
        <sz val="11"/>
        <color theme="1"/>
        <rFont val="Calibri"/>
        <family val="2"/>
        <scheme val="minor"/>
      </rPr>
      <t>,0))+((B23*D23)/B12)+((C19*D19)/B12)+((C18*D18)/B12)+(SUM(C27:C31)*0.25/B12),0)&lt;E35,</t>
    </r>
    <r>
      <rPr>
        <sz val="11"/>
        <color rgb="FFFF0000"/>
        <rFont val="Calibri"/>
        <family val="2"/>
        <scheme val="minor"/>
      </rPr>
      <t>IF(B12=64,1,E35)</t>
    </r>
    <r>
      <rPr>
        <sz val="11"/>
        <color theme="1"/>
        <rFont val="Calibri"/>
        <family val="2"/>
        <scheme val="minor"/>
      </rPr>
      <t>,ROUNDUP((IF(OR(AND(OR(D18=0,ISBLANK(D18)),NOT(C18=0)),AND(OR(D19=0,ISBLANK(D19)),NOT(C19=0))),</t>
    </r>
    <r>
      <rPr>
        <sz val="11"/>
        <color rgb="FFFF0000"/>
        <rFont val="Calibri"/>
        <family val="2"/>
        <scheme val="minor"/>
      </rPr>
      <t>IF(B12=64,1,E35)</t>
    </r>
    <r>
      <rPr>
        <sz val="11"/>
        <color theme="1"/>
        <rFont val="Calibri"/>
        <family val="2"/>
        <scheme val="minor"/>
      </rPr>
      <t>,0))+((B23*D23)/B12)+((C19*D19)/B12)+((C18*D18)/B12)+ROUNDUP((SUM(C27:C31)*0.25/B12),0),0)),E40)"</t>
    </r>
  </si>
  <si>
    <t>Version 12 (8/20/2019)</t>
  </si>
  <si>
    <t>Conver most formulas to Visual Basic.</t>
  </si>
  <si>
    <t>Added Optical Budget Calculator</t>
  </si>
  <si>
    <t>Added the ability to select an RDP PFP</t>
  </si>
  <si>
    <t>If G6 is NO and there is no commercial to be served then FOB will be forced to NO.</t>
  </si>
  <si>
    <t>Version 12b (9/18/2019)</t>
  </si>
  <si>
    <t>Remove the commercial location question.  SE will submit ZD for new greenfield commercial locations going forward.</t>
  </si>
  <si>
    <t>Adjust error notes so they work correctly for wall/rack mount PFPs and RDP PFPs.  They also qualify non-RDP PFPs vs RDP PFPs.</t>
  </si>
  <si>
    <t>Version 12c (10/21/2019)</t>
  </si>
  <si>
    <t>Added additional logic to notify planners when ZD if applicable.  This includes messages when CPIN only or CPIN/Greenfield.</t>
  </si>
  <si>
    <t>Added question about zero demand request spreadsheet to account for questions on it.</t>
  </si>
  <si>
    <t>Added fields for input of ABF CPIN info to cells A61-G67 to allow copy paste of info to the scope of work.</t>
  </si>
  <si>
    <t>Version 12d (10/28/2019)</t>
  </si>
  <si>
    <t xml:space="preserve">Rearranged ZD questions so that ZD response (and filling out form for greenfield) is required before doing PFP sizng form. </t>
  </si>
  <si>
    <t>ZD Form questions necesarry in order to determine if the field will build due to CAFII funding, Greenfield pricing, and other questions on form.</t>
  </si>
  <si>
    <t>Version 12e (3/9/2020)</t>
  </si>
  <si>
    <t>Changed number of splitters that come with PFP to 0 and update calculation on splitters required.</t>
  </si>
  <si>
    <t>Version 12f (3/18/2020)</t>
  </si>
  <si>
    <t xml:space="preserve">Changed CLR 17 links to current/correct references.  </t>
  </si>
  <si>
    <t>Version 12g (4/13/2020)</t>
  </si>
  <si>
    <t>Giver better instructions for what to do when the optical budget is beyond the optic type (xgspon or gpon) limit.</t>
  </si>
  <si>
    <t>Version 12h (7/9/2020)</t>
  </si>
  <si>
    <t>Added option for LightGig as a trigger.</t>
  </si>
  <si>
    <t>Version 12i (10/2/2020) Changed XGSPON note when exceeding ROLT distance</t>
  </si>
  <si>
    <t>Version 13 (7/9/2021) Added G.FAST Gen 2 sizing for PFPs</t>
  </si>
  <si>
    <t>Version 14 (10/4/2021) added approved FWLT-C card option and SFCM7 and SFCM6 for CO.  Adjusted optical budget.</t>
  </si>
  <si>
    <t>Version 14b (10/28/2021) added approved ROLT FWLT-C.  Created updates to note ROLT FWLT-C will always be N1 optics and SFCM7 and SFCM6s will not be used.  Added 1RU 32 and 64 Units</t>
  </si>
  <si>
    <t>Version 15 (5/26/2022) updated sizing and guidelines to follow national guidance.  This is a copy of the national version of the tool.</t>
  </si>
  <si>
    <t xml:space="preserve">       Wall Fiber Jack </t>
  </si>
  <si>
    <t>Design Point</t>
  </si>
  <si>
    <t>Description</t>
  </si>
  <si>
    <t>Loss Description</t>
  </si>
  <si>
    <t>A</t>
  </si>
  <si>
    <t>Power output at PON laser</t>
  </si>
  <si>
    <t>Assume no Loss</t>
  </si>
  <si>
    <t>Inside Wall Fiber</t>
  </si>
  <si>
    <t>B</t>
  </si>
  <si>
    <t>Connector Loss</t>
  </si>
  <si>
    <t xml:space="preserve">UPC Connector Loss assume </t>
  </si>
  <si>
    <t>Not Shown</t>
  </si>
  <si>
    <t>Maintenance Budget</t>
  </si>
  <si>
    <t>Degradation, Std Deviation, Aging, etc</t>
  </si>
  <si>
    <t>C</t>
  </si>
  <si>
    <t xml:space="preserve">FOT Panel </t>
  </si>
  <si>
    <t>No Loss</t>
  </si>
  <si>
    <t>D</t>
  </si>
  <si>
    <t>No loss</t>
  </si>
  <si>
    <t>No lLoss</t>
  </si>
  <si>
    <t>E</t>
  </si>
  <si>
    <t>WDM1r Diplexer routes PON signals from GPON and NGPON onto common fiber</t>
  </si>
  <si>
    <t>F</t>
  </si>
  <si>
    <t>Mated UPC Connector Pair FOT</t>
  </si>
  <si>
    <t>UPC Connector Loss</t>
  </si>
  <si>
    <t>G</t>
  </si>
  <si>
    <t>Fiber Jumper</t>
  </si>
  <si>
    <t>H</t>
  </si>
  <si>
    <t>Mated UPC Connector Pair OSP</t>
  </si>
  <si>
    <t>I</t>
  </si>
  <si>
    <t>Potential Attenuator</t>
  </si>
  <si>
    <t>If used You MUST enter -5.0</t>
  </si>
  <si>
    <t xml:space="preserve">Fiber Inside </t>
  </si>
  <si>
    <t>J</t>
  </si>
  <si>
    <t>Fiber Tail to first Splice Point</t>
  </si>
  <si>
    <t>K</t>
  </si>
  <si>
    <t>First Splice Point (Cable Vault or 1st Manhole)</t>
  </si>
  <si>
    <t>Ribbon Fiber Fusion Splice Loss</t>
  </si>
  <si>
    <t>L</t>
  </si>
  <si>
    <t>Backbone Feeder Fiber Loss</t>
  </si>
  <si>
    <t>Fiber loss varies by distance</t>
  </si>
  <si>
    <t>M</t>
  </si>
  <si>
    <t>Backbone Feeder Splice Loss</t>
  </si>
  <si>
    <t>Assume 1 splice PER 4KFT</t>
  </si>
  <si>
    <t xml:space="preserve">Inside Fiber Jumper </t>
  </si>
  <si>
    <t>N</t>
  </si>
  <si>
    <t>Connector for Plug and Play splitter at Feeder side</t>
  </si>
  <si>
    <t>SC/APC connector for Plug and Play in 2007, Legacy 2003- 2006 FTTP used fusion splicing</t>
  </si>
  <si>
    <t>O</t>
  </si>
  <si>
    <t>PFP Location</t>
  </si>
  <si>
    <t>Assume no fiber cable loss beyond splitter loss and connectors</t>
  </si>
  <si>
    <t xml:space="preserve">      Fiber Box Outside w/ Connector</t>
  </si>
  <si>
    <t>P</t>
  </si>
  <si>
    <t>1x32 Coupler loss</t>
  </si>
  <si>
    <t>Varies by Coupler Quality - Contract based values used</t>
  </si>
  <si>
    <t>Q</t>
  </si>
  <si>
    <t>Splitter outputs to Distr. Field connector loss</t>
  </si>
  <si>
    <t>SC/APC connector for Plug and Play since 2003 FTTP in AT&amp;T affiliates</t>
  </si>
  <si>
    <t>R</t>
  </si>
  <si>
    <t>Distribution Fusion Splices in the Distribution Area</t>
  </si>
  <si>
    <t>Assume for DA  4  fusion splice loss for a ribbon</t>
  </si>
  <si>
    <t>S</t>
  </si>
  <si>
    <t>Distribution loss by length</t>
  </si>
  <si>
    <t>Varies by length</t>
  </si>
  <si>
    <t>T</t>
  </si>
  <si>
    <t>Fiber Serving Terminal Serving Location</t>
  </si>
  <si>
    <t>U</t>
  </si>
  <si>
    <t>Drop of 500 feet is assumed</t>
  </si>
  <si>
    <t>Drop attach at terminal using connector - LightGig Design</t>
  </si>
  <si>
    <t>V</t>
  </si>
  <si>
    <t>Fiber Box added for Indoor ONT Cases only - Mated Connector Pair</t>
  </si>
  <si>
    <t>Outside Home Fiber Box with 1 Connector</t>
  </si>
  <si>
    <t>W</t>
  </si>
  <si>
    <t>Wall Jack - Mated Connector Pair</t>
  </si>
  <si>
    <t>Added a connector pair near ONT for Light Gig</t>
  </si>
  <si>
    <t xml:space="preserve">Fiber Serving Terminal </t>
  </si>
  <si>
    <t>X</t>
  </si>
  <si>
    <t>Connectorized Fiber Jumper - Wall Jack to ONT</t>
  </si>
  <si>
    <t xml:space="preserve">Negligible length-negligible loss, connector loss dominates. No indoor microbending is included. </t>
  </si>
  <si>
    <t>Y</t>
  </si>
  <si>
    <t xml:space="preserve">ONT Fiber Connector </t>
  </si>
  <si>
    <t>Assume no Loss - Included in Alcatel budget</t>
  </si>
  <si>
    <t>DA</t>
  </si>
  <si>
    <t>Micro Bending - excessive bending of fiber at Serving Terminal and in-home</t>
  </si>
  <si>
    <t>Use  0.2/0.3 dB per occurance for 1310 nm/1490 nm associated with outside plan locations with hands in plan at PFP and at the Serving Terminal</t>
  </si>
  <si>
    <t>Z1</t>
  </si>
  <si>
    <t xml:space="preserve"> 12 Fiber Ribbon connector  Corning Opti-Tip</t>
  </si>
  <si>
    <t>Z2</t>
  </si>
  <si>
    <t>Updated 6/3/2014 Kent McCammon and Stan Fory</t>
  </si>
  <si>
    <t>WORST CASE Values for each element</t>
  </si>
  <si>
    <t>Maximum or worst case design and optical losses to determine a maximum design reach guideline with Margins</t>
  </si>
  <si>
    <t>XGS-PON LOSS BUDGET SUMMARY</t>
  </si>
  <si>
    <t>Qty</t>
  </si>
  <si>
    <t>Factor</t>
  </si>
  <si>
    <t>1x64 Splitter</t>
  </si>
  <si>
    <t>1x32 Splitter</t>
  </si>
  <si>
    <t>Wavelength</t>
  </si>
  <si>
    <t>1270 nm</t>
  </si>
  <si>
    <t>1577 nm</t>
  </si>
  <si>
    <t xml:space="preserve">Optical Budget (dB) - includes conn. at OLT &amp; ONT </t>
  </si>
  <si>
    <t>CO/CO Vault Fixed Loss</t>
  </si>
  <si>
    <t>Planning Margin - Degradation, Aging, etc</t>
  </si>
  <si>
    <t>SC/UPC Connector Loss in Central Office Vault</t>
  </si>
  <si>
    <t>SFCM7 - connectorized</t>
  </si>
  <si>
    <t>LC-UPC connector pair equivalent - to connect to SFCM7</t>
  </si>
  <si>
    <t>Ribbon Fiber Fusion Splice in Central Office Vault</t>
  </si>
  <si>
    <t>PFP/Splitter Fixed Loss, SFCM6 Fixed Loss</t>
  </si>
  <si>
    <t>Single Fiber Fusion Splice Loss - to SFCM6 COM port</t>
  </si>
  <si>
    <t>SFCM6</t>
  </si>
  <si>
    <t>Single Fiber Fusion Splice Loss - to SFCM6 PON port</t>
  </si>
  <si>
    <t>Single Fiber Fusion Splice Loss - Input to Splitter</t>
  </si>
  <si>
    <t>SC/APC Connector for Plug&amp;Play @PFP-Feeder side</t>
  </si>
  <si>
    <t>1xN Splitter(Coupling) Loss</t>
  </si>
  <si>
    <t>Maximum</t>
  </si>
  <si>
    <t>SC/APC Connector at PFP-Distribution side</t>
  </si>
  <si>
    <t>Distribution/Drop Fixed Loss</t>
  </si>
  <si>
    <t>Micro bend Loss allowances (at PFP &amp; at Terminal)</t>
  </si>
  <si>
    <t>R41 Table</t>
  </si>
  <si>
    <t xml:space="preserve">OptiTip 12 fiber angled connector, vendor Typ 0.35 dB </t>
  </si>
  <si>
    <t>SC/APC-Connector at Drop Terminal (Opti-Tap or equiv.)</t>
  </si>
  <si>
    <t>Single Fiber Field Splice Loss in Distribution cable</t>
  </si>
  <si>
    <t xml:space="preserve">Fiber Loss of Drop w/out connectors (Kft) - 0.500 kft </t>
  </si>
  <si>
    <t>Table</t>
  </si>
  <si>
    <t xml:space="preserve">FOR INDOOR ONT ONLY, a SC/APC on outside of LU </t>
  </si>
  <si>
    <t>FOR INDOOR ONT ONLY, a SC/APC-Inside Wall Jack</t>
  </si>
  <si>
    <t>Inside Fiber Jumper - Bend resistant type with no losses</t>
  </si>
  <si>
    <t>Connector at ONT is included by ALU/Adtran, use 0 dB</t>
  </si>
  <si>
    <t>TOTAL FIXED LOSS</t>
  </si>
  <si>
    <t>Feeder Fiber Length (kft) - User Input</t>
  </si>
  <si>
    <t>Spl. Freq.</t>
  </si>
  <si>
    <t>Feeder Fiber Length Loss</t>
  </si>
  <si>
    <t>Per Splice</t>
  </si>
  <si>
    <t>Total Feeder Fiber Loss</t>
  </si>
  <si>
    <t>Remaining Budget</t>
  </si>
  <si>
    <t>Allowable Total F2 Length</t>
  </si>
  <si>
    <t>Total F1 + F2 Length Based on Loss Budget</t>
  </si>
  <si>
    <t>Maximum Optical Transmission Limit (kft)</t>
  </si>
  <si>
    <t>System Ranging Limit 0-64 (kft) G-PON default</t>
  </si>
  <si>
    <t>1310 nm</t>
  </si>
  <si>
    <t>1550 nm</t>
  </si>
  <si>
    <t>Fiber Loss per kft (new)</t>
  </si>
  <si>
    <t>Fiber Loss per kft (old) - Default</t>
  </si>
  <si>
    <t>Standard Fiber in OSP Microbend Loss (per occurrence)</t>
  </si>
  <si>
    <t>(XGS-PON lambdas)</t>
  </si>
  <si>
    <t>(test lambdas)</t>
  </si>
  <si>
    <t>Note: In the fiber loss/kft table, “old” fiber is standard G.652.D fiber, and “new” fiber is SMF28e+ low loss fiber (or equivalent).</t>
  </si>
  <si>
    <t>GPON LOSS BUDGET SUMMARY</t>
  </si>
  <si>
    <t>1x16 Splitter</t>
  </si>
  <si>
    <t>1490 nm</t>
  </si>
  <si>
    <t>WDM Filter with 2 Mated Connector Pairs</t>
  </si>
  <si>
    <t>PFP/Splitter Fixed Loss</t>
  </si>
  <si>
    <t>R36 Table</t>
  </si>
  <si>
    <t>Standard PFP Sizes</t>
  </si>
  <si>
    <t>Retro PFPs</t>
  </si>
  <si>
    <t>PFP Size</t>
  </si>
  <si>
    <t>Max Splitter Slols</t>
  </si>
  <si>
    <t>Feeder Fiber Stub</t>
  </si>
  <si>
    <t>Pass Through</t>
  </si>
  <si>
    <t>ATT Allowable Splitter</t>
  </si>
  <si>
    <t>Distribution Size</t>
  </si>
  <si>
    <t>RDP</t>
  </si>
  <si>
    <t>Region</t>
  </si>
  <si>
    <t>WALL</t>
  </si>
  <si>
    <t>No</t>
  </si>
  <si>
    <t>RACK</t>
  </si>
  <si>
    <t>Yes</t>
  </si>
  <si>
    <t>14 </t>
  </si>
  <si>
    <t>24 </t>
  </si>
  <si>
    <t>36 </t>
  </si>
  <si>
    <t>8 </t>
  </si>
  <si>
    <t>28 </t>
  </si>
  <si>
    <t> 72   </t>
  </si>
  <si>
    <t> 48   </t>
  </si>
  <si>
    <t>18 </t>
  </si>
  <si>
    <t>15 </t>
  </si>
  <si>
    <t>Do not use Retrofit</t>
  </si>
  <si>
    <t>48 </t>
  </si>
  <si>
    <t>30 </t>
  </si>
  <si>
    <t>144 </t>
  </si>
  <si>
    <t>121 </t>
  </si>
  <si>
    <t>72 </t>
  </si>
  <si>
    <t>96 </t>
  </si>
  <si>
    <t>288 </t>
  </si>
  <si>
    <t>252 </t>
  </si>
  <si>
    <t>5 </t>
  </si>
  <si>
    <t>None </t>
  </si>
  <si>
    <t>7 </t>
  </si>
  <si>
    <t>12 </t>
  </si>
  <si>
    <t>9 </t>
  </si>
  <si>
    <t>10 </t>
  </si>
  <si>
    <t xml:space="preserve">POLE </t>
  </si>
  <si>
    <t>0 </t>
  </si>
  <si>
    <t>54 </t>
  </si>
  <si>
    <t>100 </t>
  </si>
  <si>
    <t>27 </t>
  </si>
  <si>
    <t>Check Parameters</t>
  </si>
  <si>
    <t>Mobility</t>
  </si>
  <si>
    <t>`</t>
  </si>
  <si>
    <t># of Business Units</t>
  </si>
  <si>
    <t>Urban Sites</t>
  </si>
  <si>
    <r>
      <t xml:space="preserve">Rural </t>
    </r>
    <r>
      <rPr>
        <b/>
        <sz val="11"/>
        <rFont val="Calibri"/>
        <family val="2"/>
        <scheme val="minor"/>
      </rPr>
      <t>Sites</t>
    </r>
    <r>
      <rPr>
        <b/>
        <sz val="11"/>
        <color theme="1"/>
        <rFont val="Calibri"/>
        <family val="2"/>
        <scheme val="minor"/>
      </rPr>
      <t xml:space="preserve">/
CRAN </t>
    </r>
    <r>
      <rPr>
        <b/>
        <sz val="11"/>
        <rFont val="Calibri"/>
        <family val="2"/>
        <scheme val="minor"/>
      </rPr>
      <t>Locations</t>
    </r>
  </si>
  <si>
    <r>
      <t xml:space="preserve">Unknown Mobility </t>
    </r>
    <r>
      <rPr>
        <b/>
        <sz val="11"/>
        <color rgb="FFFF0000"/>
        <rFont val="Calibri"/>
        <family val="2"/>
        <scheme val="minor"/>
      </rPr>
      <t>Fibers</t>
    </r>
    <r>
      <rPr>
        <b/>
        <sz val="11"/>
        <rFont val="Calibri"/>
        <family val="2"/>
        <scheme val="minor"/>
      </rPr>
      <t xml:space="preserve"> (12 max)</t>
    </r>
  </si>
  <si>
    <r>
      <t>Total Distribution Fibers</t>
    </r>
    <r>
      <rPr>
        <b/>
        <vertAlign val="superscript"/>
        <sz val="11"/>
        <color theme="1"/>
        <rFont val="Calibri"/>
        <family val="2"/>
        <scheme val="minor"/>
      </rPr>
      <t>5</t>
    </r>
  </si>
  <si>
    <t>Ultimate/Total 1X8 Splitters needed for G.FAST</t>
  </si>
  <si>
    <r>
      <t>Number of Pass Thrus Required (25% of businesses</t>
    </r>
    <r>
      <rPr>
        <b/>
        <vertAlign val="superscript"/>
        <sz val="11"/>
        <color theme="1"/>
        <rFont val="Calibri"/>
        <family val="2"/>
        <scheme val="minor"/>
      </rPr>
      <t>6</t>
    </r>
    <r>
      <rPr>
        <b/>
        <sz val="11"/>
        <color theme="1"/>
        <rFont val="Calibri"/>
        <family val="2"/>
        <scheme val="minor"/>
      </rPr>
      <t>/100% of Mobility</t>
    </r>
    <r>
      <rPr>
        <b/>
        <vertAlign val="superscript"/>
        <sz val="11"/>
        <color theme="1"/>
        <rFont val="Calibri"/>
        <family val="2"/>
        <scheme val="minor"/>
      </rPr>
      <t>4</t>
    </r>
    <r>
      <rPr>
        <b/>
        <sz val="11"/>
        <color theme="1"/>
        <rFont val="Calibri"/>
        <family val="2"/>
        <scheme val="minor"/>
      </rPr>
      <t>)</t>
    </r>
  </si>
  <si>
    <r>
      <t>Macro Sites</t>
    </r>
    <r>
      <rPr>
        <b/>
        <vertAlign val="superscript"/>
        <sz val="11"/>
        <color theme="1"/>
        <rFont val="Calibri"/>
        <family val="2"/>
        <scheme val="minor"/>
      </rPr>
      <t>4</t>
    </r>
  </si>
  <si>
    <r>
      <rPr>
        <sz val="11"/>
        <rFont val="Calibri"/>
        <family val="2"/>
        <scheme val="minor"/>
      </rPr>
      <t>Note 4:  Sizing based on</t>
    </r>
    <r>
      <rPr>
        <u/>
        <sz val="11"/>
        <rFont val="Calibri"/>
        <family val="2"/>
        <scheme val="minor"/>
      </rPr>
      <t xml:space="preserve"> </t>
    </r>
    <r>
      <rPr>
        <u/>
        <sz val="11"/>
        <color theme="10"/>
        <rFont val="Calibri"/>
        <family val="2"/>
        <scheme val="minor"/>
      </rPr>
      <t>ATT-TELCO-002-600-699 section 2.2.2</t>
    </r>
    <r>
      <rPr>
        <sz val="11"/>
        <rFont val="Calibri"/>
        <family val="2"/>
        <scheme val="minor"/>
      </rPr>
      <t xml:space="preserve"> for Mobility.</t>
    </r>
  </si>
  <si>
    <t>Version 16 (6/2/2022) Updated to include Mobility Macro Sites and Unkown Fibers</t>
  </si>
  <si>
    <r>
      <rPr>
        <sz val="11"/>
        <rFont val="Calibri"/>
        <family val="2"/>
        <scheme val="minor"/>
      </rPr>
      <t xml:space="preserve">14) Enter the number of </t>
    </r>
    <r>
      <rPr>
        <u/>
        <sz val="11"/>
        <color theme="10"/>
        <rFont val="Calibri"/>
        <family val="2"/>
        <scheme val="minor"/>
      </rPr>
      <t>CRAN nodes and Macro Mobility Sites</t>
    </r>
    <r>
      <rPr>
        <sz val="11"/>
        <rFont val="Calibri"/>
        <family val="2"/>
        <scheme val="minor"/>
      </rPr>
      <t xml:space="preserve"> in this PSA.  For Mobility Macro Sites you can enter upto 12 fibers for unknown needs (Pass thru and Distribution will be calculated for each fiber added.)  For each rural macro site 12 F1 and F2 fibers will be calculated.  For each urban macro site 24 F1 and F2 fibers will be calculated.   For CRAN 8 F1 pass-thru and 8 distribution fibers will be calculation per node.</t>
    </r>
  </si>
  <si>
    <r>
      <rPr>
        <sz val="11"/>
        <rFont val="Calibri"/>
        <family val="2"/>
        <scheme val="minor"/>
      </rPr>
      <t xml:space="preserve">15) Enter the projected take rate for Pass Thru services in cell G53.  The default rate is 25% based on </t>
    </r>
    <r>
      <rPr>
        <u/>
        <sz val="11"/>
        <color theme="10"/>
        <rFont val="Calibri"/>
        <family val="2"/>
        <scheme val="minor"/>
      </rPr>
      <t>ATT-TELCO-002-600-699 section 2.1</t>
    </r>
    <r>
      <rPr>
        <sz val="11"/>
        <rFont val="Calibri"/>
        <family val="2"/>
        <scheme val="minor"/>
      </rPr>
      <t>.  Enter notes in cell H53 as to why you changed the rate if you use a value other than 25%.</t>
    </r>
  </si>
  <si>
    <t xml:space="preserve">Version 16b (6/28/2022) Correct the math on splitters needed for XGSPON served DPUs for G.FAST from 4 per to 8 per.  An error occurred in the past that changed to 4 per inadvertantly. </t>
  </si>
  <si>
    <t xml:space="preserve">Version 16c (7/14/2022) Correct the math on initial splitters needed when using BBSubs. </t>
  </si>
  <si>
    <t># of Units in current build/phase(s)</t>
  </si>
  <si>
    <t>Future GF Units not in current build/phase(s)</t>
  </si>
  <si>
    <t>Version 17 (08/24/2022) Add ability to separate out future GF builds from current ones.</t>
  </si>
  <si>
    <t>48 &amp; 48</t>
  </si>
  <si>
    <t>72 &amp; 72</t>
  </si>
  <si>
    <t>144 &amp; 144</t>
  </si>
  <si>
    <t>Version 17b (09/08/2022) Update PFP Sizing Chart to match new Corning PFPs</t>
  </si>
  <si>
    <t>Type of Build</t>
  </si>
  <si>
    <t>Bulk/Instant On</t>
  </si>
  <si>
    <t>EMA Plus</t>
  </si>
  <si>
    <t>60 Percent</t>
  </si>
  <si>
    <t>Living Units at MDU</t>
  </si>
  <si>
    <t>Splitter Size used @ PFP</t>
  </si>
  <si>
    <t>Splitter buildout percentage for Bulk/Instant On</t>
  </si>
  <si>
    <t>Splitter buildout percentage for EMA+</t>
  </si>
  <si>
    <t>Splitter buildout percentage for 60 Percent</t>
  </si>
  <si>
    <t>Splitters required at new PFP for Capacity based on Type of Build</t>
  </si>
  <si>
    <t>Splitters installed at new PFP for standard build (Overbuild or New Construction) (C&amp;E Responsibility)</t>
  </si>
  <si>
    <t>Splitters Required in addition to 2 standard input by C&amp;E (ACC responsibility)</t>
  </si>
  <si>
    <t xml:space="preserve"> MDU coverage @ PFP</t>
  </si>
  <si>
    <t>Splitters Required above the 2 standard input by C&amp;E (ACC financial responsibility)</t>
  </si>
  <si>
    <t>Splitter Cost (64 port - material only)</t>
  </si>
  <si>
    <t>Additional Splitter Material Cost for 100% capacity</t>
  </si>
  <si>
    <t>Installation Labor Rate (per Splitter)</t>
  </si>
  <si>
    <t>Additional Splitter Labor Cost for 100% capacity</t>
  </si>
  <si>
    <t>Cross-Connects (LU's needing coverage based on build type: Bulk, EMA+, or 60 Percent)</t>
  </si>
  <si>
    <t>Time in hours per jumper (To clean and terminate to F2)</t>
  </si>
  <si>
    <t>Total Time for all jumpers (hrs)</t>
  </si>
  <si>
    <t>PFP Setup time (hrs)</t>
  </si>
  <si>
    <t>Loaded Labor Rate (per Finance)</t>
  </si>
  <si>
    <t>Additional Cost to run cross-connects at property</t>
  </si>
  <si>
    <t>Backbone capacity cost of additional strand (1 strand per Splitter)</t>
  </si>
  <si>
    <t>Additional Feeder/Backbone Cost for 100% capacity</t>
  </si>
  <si>
    <t>BULK</t>
  </si>
  <si>
    <t>EMAPLUS</t>
  </si>
  <si>
    <t>The additional capital needed from ACC to required capacity at PFP based on build sold type</t>
  </si>
  <si>
    <t>OLT ports required (1 per Splitter)</t>
  </si>
  <si>
    <t>OLT port cost (all in and installed per FX-16 OLT)</t>
  </si>
  <si>
    <t>Additional OLT Port Cost for 100% capacity</t>
  </si>
  <si>
    <r>
      <rPr>
        <sz val="11"/>
        <rFont val="Calibri"/>
        <family val="2"/>
        <scheme val="minor"/>
      </rPr>
      <t xml:space="preserve">1 YR / </t>
    </r>
    <r>
      <rPr>
        <u/>
        <sz val="11"/>
        <color theme="10"/>
        <rFont val="Calibri"/>
        <family val="2"/>
        <scheme val="minor"/>
      </rPr>
      <t>CCU / DMA Min Take Rate</t>
    </r>
  </si>
  <si>
    <t>1 YR/DMA Min/CCU/ 95% BB Take Rate</t>
  </si>
  <si>
    <t>1 YR/DMA Min/CCU Take Rate</t>
  </si>
  <si>
    <r>
      <rPr>
        <sz val="11"/>
        <rFont val="Calibri"/>
        <family val="2"/>
        <scheme val="minor"/>
      </rPr>
      <t xml:space="preserve">Note 2:  CCU Take Rate based on CCU contract shown in MIC handoff doc.  For Greenfield and Overbuild Locations where CCU contracts see </t>
    </r>
    <r>
      <rPr>
        <u/>
        <sz val="11"/>
        <color theme="10"/>
        <rFont val="Calibri"/>
        <family val="2"/>
        <scheme val="minor"/>
      </rPr>
      <t>ATT-TELCO-002-600-699 section 3.8.2 for the take rate to use.</t>
    </r>
    <r>
      <rPr>
        <sz val="11"/>
        <rFont val="Calibri"/>
        <family val="2"/>
        <scheme val="minor"/>
      </rPr>
      <t xml:space="preserve">  </t>
    </r>
  </si>
  <si>
    <t xml:space="preserve">8) Enter any LightGig living units in the build plan of this PSA in cell B27 and other LightGig/Overbuild living units not in the build plan in cell C27.  If there is a CCU contract see section ATT-TELCO-002-600-699 section 3.8.1 for the take rate to use.  For Greenfield and Overbuild Locations where CCU contracts see ATT-TELCO-002-600-699 section 3.8.2 for the take rate to use.  </t>
  </si>
  <si>
    <t>6) Enter the number greenfield single family units projected in the current build/phase(s) in cell C22 and future build(s)/phase(s) in cell B22. If there is a CCU contract see section ATT-TELCO-002-600-699 section 3.8.1 for the take rate to use in cell D22.  For Greenfield and Overbuild Locations where CCU contracts see ATT-TELCO-002-600-699 section 3.8.2 for the take rate to use.  Cell D22 times the number of units in C22 will be used to calculate the number of initial splitters.</t>
  </si>
  <si>
    <t>7) Enter the number greenfield multi-dwelling units in the current build/phase(s) in cell C23 and future build(s)/phase(s) in cell B23.   If there is a CCU contract see section ATT-TELCO-002-600-699 section 3.8.1 for the take rate to use in cell D23.  For Greenfield and Overbuild Locations where CCU contracts see ATT-TELCO-002-600-699 section 3.8.2 for the take rate to use.   Cell D23 times the number of units in C23 will be used to calculate the number of initial splitters.</t>
  </si>
  <si>
    <t>1) Enter trigger for placing this PFP in Cell B5 and number of Broadband subs in cell B6.  If appropriate, complete Other PON question in Cell B7.  Also, if appropriate add ABF CPIN info in Cells A66-C70 and Cell G65.</t>
  </si>
  <si>
    <t>Version 17c (06/02/2023) Removed ZD sizing questions.  With order blocking all greenfield locations (except in non ZD states) should be submitted for zero demand.</t>
  </si>
  <si>
    <t>Average OLT Laser Transmit Power (dBm)</t>
  </si>
  <si>
    <t xml:space="preserve">Max CO EML - Engineered Measured Loss (dB) for 1550 nm downstream from OLT to northbound side of OSP fiber panel (Location "A" to "H" on Optical Budget Diagram </t>
  </si>
  <si>
    <t>Estimated Downstream Power Threshold (dBm) at PFP splitter output (Location "Q" on Optical Budget Diagram)</t>
  </si>
  <si>
    <t>Estimated Downstream Power Threshold (dBm) at PFP splitter input (Location "N" on Optical Budget Diagram)</t>
  </si>
  <si>
    <t>Total Length:</t>
  </si>
  <si>
    <t>Splitter Type:</t>
  </si>
  <si>
    <t>Feeder Fiber Length (kft) from CO or Remote OLT:</t>
  </si>
  <si>
    <r>
      <t>Avg. Feeder Splicing Interval (kft)</t>
    </r>
    <r>
      <rPr>
        <sz val="11"/>
        <color rgb="FFFF0000"/>
        <rFont val="Calibri"/>
        <family val="2"/>
        <scheme val="minor"/>
      </rPr>
      <t xml:space="preserve"> - This is </t>
    </r>
    <r>
      <rPr>
        <b/>
        <sz val="11"/>
        <color rgb="FFFF0000"/>
        <rFont val="Calibri"/>
        <family val="2"/>
        <scheme val="minor"/>
      </rPr>
      <t>NOT</t>
    </r>
    <r>
      <rPr>
        <sz val="11"/>
        <color rgb="FFFF0000"/>
        <rFont val="Calibri"/>
        <family val="2"/>
        <scheme val="minor"/>
      </rPr>
      <t xml:space="preserve"> the number of splices</t>
    </r>
    <r>
      <rPr>
        <sz val="11"/>
        <rFont val="Calibri"/>
        <family val="2"/>
        <scheme val="minor"/>
      </rPr>
      <t>:</t>
    </r>
  </si>
  <si>
    <t>Version 18 (08/29/2023) Added 1X16 split ratio for XGSPON, Added Construction Power Loss cells I15-I18 and moved EML losses to F15-F18, allow ROLT XGSPON to utilize N2 optics.</t>
  </si>
  <si>
    <t>2) Select the Class of optics.  GPON, FWLT-B+ (8 port XGSPON) cards use class N1 while CO FWLT-C (16 port XGSPON) cards use class N2.  ROLT FWLT-C (16 port XGSPON) cards can use N1 or N2.</t>
  </si>
  <si>
    <t>East</t>
  </si>
  <si>
    <t>Manufacturer</t>
  </si>
  <si>
    <t>CommScope</t>
  </si>
  <si>
    <t>Corning</t>
  </si>
  <si>
    <t>West</t>
  </si>
  <si>
    <t>Charles Industry</t>
  </si>
  <si>
    <t>In Excel click on ‘file’ at the top then on the bottom left click ‘options’.  Then click 1-Trust Center, 2-Trust Center Settings, 3-Trusted Documents, 4-clear.  Hit OK or yes if it asks you to confirm.  Close the file and reopen and it will ask again if you want to enable macros (select yes) and then ask if you want to trust the document (be sure to hit yes).  If you hit no you will have to do this process over again.  If you still have issues contact Austin Sapp (as7454).</t>
  </si>
  <si>
    <t>Version 18b (01/02/2024) Edited options for 1X16 so noncompliant variances can't be selected (such as new PFPs).  Change regions to East and West.</t>
  </si>
  <si>
    <t>Yes/No</t>
  </si>
  <si>
    <t>3M</t>
  </si>
  <si>
    <t>24 &amp; 24</t>
  </si>
  <si>
    <t>Corning or CommScope</t>
  </si>
  <si>
    <t>CommScope or Charles Industry</t>
  </si>
  <si>
    <t>Version 18c</t>
  </si>
  <si>
    <t>Version 18c (06/11/2024) Updated to show available manufacturers for the given criteria and region in cells F55 and F56.</t>
  </si>
  <si>
    <t>LightGig (Overbuild)</t>
  </si>
  <si>
    <t>CO XGSPON Optics</t>
  </si>
  <si>
    <t>Class N2</t>
  </si>
  <si>
    <t>Do not use Retrofit.</t>
  </si>
  <si>
    <t>Total 1X64 Splitters Required on Initial Turn Up</t>
  </si>
  <si>
    <t>Ultimate 1X64 Splitters Required</t>
  </si>
  <si>
    <t>PFP:IFP* PL PFP 1903PB 6605 NW 75TH PL IFP DA 190305</t>
  </si>
  <si>
    <t>A05375G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</si>
</sst>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
    <numFmt numFmtId="166" formatCode="&quot;$&quot;#,##0"/>
  </numFmts>
  <fonts count="59" x14ac:knownFonts="1">
    <font>
      <sz val="11"/>
      <color theme="1"/>
      <name val="Calibri"/>
      <family val="2"/>
      <scheme val="minor"/>
    </font>
    <font>
      <b/>
      <sz val="11"/>
      <color theme="1"/>
      <name val="Calibri"/>
      <family val="2"/>
      <scheme val="minor"/>
    </font>
    <font>
      <sz val="11"/>
      <color rgb="FFFF0000"/>
      <name val="Calibri"/>
      <family val="2"/>
      <scheme val="minor"/>
    </font>
    <font>
      <b/>
      <vertAlign val="superscript"/>
      <sz val="11"/>
      <color theme="1"/>
      <name val="Calibri"/>
      <family val="2"/>
      <scheme val="minor"/>
    </font>
    <font>
      <u/>
      <sz val="11"/>
      <color theme="10"/>
      <name val="Calibri"/>
      <family val="2"/>
      <scheme val="minor"/>
    </font>
    <font>
      <sz val="11"/>
      <name val="Calibri"/>
      <family val="2"/>
      <scheme val="minor"/>
    </font>
    <font>
      <b/>
      <u/>
      <sz val="16"/>
      <color theme="1"/>
      <name val="Calibri"/>
      <family val="2"/>
      <scheme val="minor"/>
    </font>
    <font>
      <b/>
      <sz val="11"/>
      <name val="Calibri"/>
      <family val="2"/>
      <scheme val="minor"/>
    </font>
    <font>
      <b/>
      <u/>
      <sz val="16"/>
      <name val="Calibri"/>
      <family val="2"/>
      <scheme val="minor"/>
    </font>
    <font>
      <b/>
      <sz val="10"/>
      <color theme="1"/>
      <name val="Calibri"/>
      <family val="2"/>
      <scheme val="minor"/>
    </font>
    <font>
      <b/>
      <sz val="12"/>
      <color theme="1"/>
      <name val="Calibri"/>
      <family val="2"/>
      <scheme val="minor"/>
    </font>
    <font>
      <vertAlign val="superscript"/>
      <sz val="11"/>
      <color theme="1"/>
      <name val="Calibri"/>
      <family val="2"/>
      <scheme val="minor"/>
    </font>
    <font>
      <b/>
      <sz val="9"/>
      <color indexed="81"/>
      <name val="Tahoma"/>
      <family val="2"/>
    </font>
    <font>
      <sz val="9"/>
      <color indexed="81"/>
      <name val="Tahoma"/>
      <family val="2"/>
    </font>
    <font>
      <sz val="11"/>
      <color rgb="FF404040"/>
      <name val="Calibri"/>
      <family val="2"/>
      <scheme val="minor"/>
    </font>
    <font>
      <b/>
      <sz val="12"/>
      <name val="Arial"/>
      <family val="2"/>
    </font>
    <font>
      <b/>
      <sz val="10"/>
      <name val="Arial"/>
      <family val="2"/>
    </font>
    <font>
      <sz val="10"/>
      <name val="Arial"/>
      <family val="2"/>
    </font>
    <font>
      <b/>
      <i/>
      <sz val="10"/>
      <name val="Arial"/>
      <family val="2"/>
    </font>
    <font>
      <b/>
      <sz val="10"/>
      <color rgb="FFFF0000"/>
      <name val="Arial"/>
      <family val="2"/>
    </font>
    <font>
      <sz val="10"/>
      <color indexed="12"/>
      <name val="Arial"/>
      <family val="2"/>
    </font>
    <font>
      <b/>
      <sz val="10"/>
      <color indexed="12"/>
      <name val="Arial"/>
      <family val="2"/>
    </font>
    <font>
      <sz val="10"/>
      <color indexed="10"/>
      <name val="Arial"/>
      <family val="2"/>
    </font>
    <font>
      <b/>
      <sz val="10"/>
      <color rgb="FF0070C0"/>
      <name val="Arial"/>
      <family val="2"/>
    </font>
    <font>
      <b/>
      <sz val="10"/>
      <color indexed="10"/>
      <name val="Arial"/>
      <family val="2"/>
    </font>
    <font>
      <b/>
      <sz val="10"/>
      <color theme="5" tint="-0.249977111117893"/>
      <name val="Arial"/>
      <family val="2"/>
    </font>
    <font>
      <b/>
      <sz val="10"/>
      <color theme="5"/>
      <name val="Arial"/>
      <family val="2"/>
    </font>
    <font>
      <b/>
      <sz val="8"/>
      <color indexed="81"/>
      <name val="Tahoma"/>
      <family val="2"/>
    </font>
    <font>
      <sz val="8"/>
      <color indexed="81"/>
      <name val="Tahoma"/>
      <family val="2"/>
    </font>
    <font>
      <b/>
      <sz val="14"/>
      <color rgb="FF00B050"/>
      <name val="Arial"/>
      <family val="2"/>
    </font>
    <font>
      <b/>
      <sz val="9"/>
      <name val="Arial"/>
      <family val="2"/>
    </font>
    <font>
      <sz val="10"/>
      <color rgb="FF00B050"/>
      <name val="Arial"/>
      <family val="2"/>
    </font>
    <font>
      <b/>
      <sz val="10"/>
      <color rgb="FF00B050"/>
      <name val="Arial"/>
      <family val="2"/>
    </font>
    <font>
      <b/>
      <sz val="11"/>
      <color rgb="FFFF0000"/>
      <name val="Calibri"/>
      <family val="2"/>
      <scheme val="minor"/>
    </font>
    <font>
      <b/>
      <sz val="11"/>
      <color rgb="FFFF00FF"/>
      <name val="Calibri"/>
      <family val="2"/>
      <scheme val="minor"/>
    </font>
    <font>
      <sz val="11"/>
      <color rgb="FF3333FF"/>
      <name val="Calibri"/>
      <family val="2"/>
      <scheme val="minor"/>
    </font>
    <font>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b/>
      <sz val="8"/>
      <color theme="1"/>
      <name val="Calibri"/>
      <family val="2"/>
      <scheme val="minor"/>
    </font>
    <font>
      <strike/>
      <sz val="11"/>
      <color rgb="FFFF0000"/>
      <name val="Calibri"/>
      <family val="2"/>
      <scheme val="minor"/>
    </font>
    <font>
      <u/>
      <sz val="11"/>
      <name val="Calibri"/>
      <family val="2"/>
      <scheme val="minor"/>
    </font>
    <font>
      <sz val="11"/>
      <color theme="1"/>
      <name val="Calibri"/>
      <family val="2"/>
      <scheme val="minor"/>
    </font>
    <font>
      <sz val="10"/>
      <name val="Calibri"/>
      <family val="2"/>
      <scheme val="minor"/>
    </font>
    <font>
      <b/>
      <sz val="10"/>
      <name val="Calibri"/>
      <family val="2"/>
      <scheme val="minor"/>
    </font>
  </fonts>
  <fills count="47">
    <fill>
      <patternFill patternType="none"/>
    </fill>
    <fill>
      <patternFill patternType="gray125"/>
    </fill>
    <fill>
      <patternFill patternType="solid">
        <fgColor theme="2" tint="-0.499984740745262"/>
        <bgColor indexed="64"/>
      </patternFill>
    </fill>
    <fill>
      <patternFill patternType="solid">
        <fgColor rgb="FFFFFF00"/>
        <bgColor indexed="64"/>
      </patternFill>
    </fill>
    <fill>
      <patternFill patternType="solid">
        <fgColor rgb="FF00FF00"/>
        <bgColor indexed="64"/>
      </patternFill>
    </fill>
    <fill>
      <patternFill patternType="solid">
        <fgColor theme="0" tint="-0.14999847407452621"/>
        <bgColor indexed="64"/>
      </patternFill>
    </fill>
    <fill>
      <patternFill patternType="solid">
        <fgColor indexed="22"/>
        <bgColor indexed="64"/>
      </patternFill>
    </fill>
    <fill>
      <patternFill patternType="solid">
        <fgColor rgb="FFC0C0C0"/>
        <bgColor indexed="64"/>
      </patternFill>
    </fill>
    <fill>
      <patternFill patternType="solid">
        <fgColor indexed="47"/>
        <bgColor indexed="64"/>
      </patternFill>
    </fill>
    <fill>
      <patternFill patternType="solid">
        <fgColor rgb="FFFFCC99"/>
        <bgColor indexed="64"/>
      </patternFill>
    </fill>
    <fill>
      <patternFill patternType="solid">
        <fgColor indexed="43"/>
        <bgColor indexed="64"/>
      </patternFill>
    </fill>
    <fill>
      <patternFill patternType="solid">
        <fgColor indexed="42"/>
        <bgColor indexed="64"/>
      </patternFill>
    </fill>
    <fill>
      <patternFill patternType="solid">
        <fgColor rgb="FFCCFFCC"/>
        <bgColor indexed="64"/>
      </patternFill>
    </fill>
    <fill>
      <patternFill patternType="solid">
        <fgColor indexed="41"/>
        <bgColor indexed="64"/>
      </patternFill>
    </fill>
    <fill>
      <patternFill patternType="solid">
        <fgColor theme="0"/>
        <bgColor indexed="64"/>
      </patternFill>
    </fill>
    <fill>
      <patternFill patternType="solid">
        <fgColor rgb="FFCCFFFF"/>
        <bgColor indexed="64"/>
      </patternFill>
    </fill>
    <fill>
      <patternFill patternType="solid">
        <fgColor theme="3"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2" tint="-0.249977111117893"/>
        <bgColor indexed="64"/>
      </patternFill>
    </fill>
    <fill>
      <patternFill patternType="solid">
        <fgColor theme="7" tint="0.79998168889431442"/>
        <bgColor indexed="64"/>
      </patternFill>
    </fill>
    <fill>
      <patternFill patternType="solid">
        <fgColor rgb="FFFFFF99"/>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rgb="FFCCFF99"/>
        <bgColor indexed="64"/>
      </patternFill>
    </fill>
    <fill>
      <patternFill patternType="solid">
        <fgColor theme="9" tint="0.59999389629810485"/>
        <bgColor indexed="64"/>
      </patternFill>
    </fill>
  </fills>
  <borders count="75">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indexed="64"/>
      </left>
      <right/>
      <top style="thin">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s>
  <cellStyleXfs count="46">
    <xf numFmtId="0" fontId="0" fillId="0" borderId="0"/>
    <xf numFmtId="0" fontId="4" fillId="0" borderId="0" applyNumberFormat="0" applyFill="0" applyBorder="0" applyAlignment="0" applyProtection="0"/>
    <xf numFmtId="0" fontId="17" fillId="0" borderId="0"/>
    <xf numFmtId="0" fontId="36" fillId="0" borderId="0"/>
    <xf numFmtId="0" fontId="37" fillId="17" borderId="0" applyNumberFormat="0" applyBorder="0" applyAlignment="0" applyProtection="0"/>
    <xf numFmtId="0" fontId="37" fillId="18" borderId="0" applyNumberFormat="0" applyBorder="0" applyAlignment="0" applyProtection="0"/>
    <xf numFmtId="0" fontId="37" fillId="19" borderId="0" applyNumberFormat="0" applyBorder="0" applyAlignment="0" applyProtection="0"/>
    <xf numFmtId="0" fontId="37" fillId="20" borderId="0" applyNumberFormat="0" applyBorder="0" applyAlignment="0" applyProtection="0"/>
    <xf numFmtId="0" fontId="37" fillId="21" borderId="0" applyNumberFormat="0" applyBorder="0" applyAlignment="0" applyProtection="0"/>
    <xf numFmtId="0" fontId="37" fillId="22" borderId="0" applyNumberFormat="0" applyBorder="0" applyAlignment="0" applyProtection="0"/>
    <xf numFmtId="0" fontId="37" fillId="23" borderId="0" applyNumberFormat="0" applyBorder="0" applyAlignment="0" applyProtection="0"/>
    <xf numFmtId="0" fontId="37" fillId="24" borderId="0" applyNumberFormat="0" applyBorder="0" applyAlignment="0" applyProtection="0"/>
    <xf numFmtId="0" fontId="37" fillId="25" borderId="0" applyNumberFormat="0" applyBorder="0" applyAlignment="0" applyProtection="0"/>
    <xf numFmtId="0" fontId="37" fillId="20" borderId="0" applyNumberFormat="0" applyBorder="0" applyAlignment="0" applyProtection="0"/>
    <xf numFmtId="0" fontId="37" fillId="23" borderId="0" applyNumberFormat="0" applyBorder="0" applyAlignment="0" applyProtection="0"/>
    <xf numFmtId="0" fontId="37" fillId="26" borderId="0" applyNumberFormat="0" applyBorder="0" applyAlignment="0" applyProtection="0"/>
    <xf numFmtId="0" fontId="38" fillId="27" borderId="0" applyNumberFormat="0" applyBorder="0" applyAlignment="0" applyProtection="0"/>
    <xf numFmtId="0" fontId="38" fillId="24" borderId="0" applyNumberFormat="0" applyBorder="0" applyAlignment="0" applyProtection="0"/>
    <xf numFmtId="0" fontId="38" fillId="25"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38" fillId="30" borderId="0" applyNumberFormat="0" applyBorder="0" applyAlignment="0" applyProtection="0"/>
    <xf numFmtId="0" fontId="38" fillId="31" borderId="0" applyNumberFormat="0" applyBorder="0" applyAlignment="0" applyProtection="0"/>
    <xf numFmtId="0" fontId="38" fillId="32" borderId="0" applyNumberFormat="0" applyBorder="0" applyAlignment="0" applyProtection="0"/>
    <xf numFmtId="0" fontId="38" fillId="33" borderId="0" applyNumberFormat="0" applyBorder="0" applyAlignment="0" applyProtection="0"/>
    <xf numFmtId="0" fontId="38" fillId="28" borderId="0" applyNumberFormat="0" applyBorder="0" applyAlignment="0" applyProtection="0"/>
    <xf numFmtId="0" fontId="38" fillId="29" borderId="0" applyNumberFormat="0" applyBorder="0" applyAlignment="0" applyProtection="0"/>
    <xf numFmtId="0" fontId="38" fillId="34" borderId="0" applyNumberFormat="0" applyBorder="0" applyAlignment="0" applyProtection="0"/>
    <xf numFmtId="0" fontId="39" fillId="18" borderId="0" applyNumberFormat="0" applyBorder="0" applyAlignment="0" applyProtection="0"/>
    <xf numFmtId="0" fontId="40" fillId="35" borderId="57" applyNumberFormat="0" applyAlignment="0" applyProtection="0"/>
    <xf numFmtId="0" fontId="41" fillId="36" borderId="58" applyNumberFormat="0" applyAlignment="0" applyProtection="0"/>
    <xf numFmtId="0" fontId="42" fillId="0" borderId="0" applyNumberFormat="0" applyFill="0" applyBorder="0" applyAlignment="0" applyProtection="0"/>
    <xf numFmtId="0" fontId="43" fillId="19" borderId="0" applyNumberFormat="0" applyBorder="0" applyAlignment="0" applyProtection="0"/>
    <xf numFmtId="0" fontId="44" fillId="0" borderId="59" applyNumberFormat="0" applyFill="0" applyAlignment="0" applyProtection="0"/>
    <xf numFmtId="0" fontId="45" fillId="0" borderId="60" applyNumberFormat="0" applyFill="0" applyAlignment="0" applyProtection="0"/>
    <xf numFmtId="0" fontId="46" fillId="0" borderId="61" applyNumberFormat="0" applyFill="0" applyAlignment="0" applyProtection="0"/>
    <xf numFmtId="0" fontId="46" fillId="0" borderId="0" applyNumberFormat="0" applyFill="0" applyBorder="0" applyAlignment="0" applyProtection="0"/>
    <xf numFmtId="0" fontId="47" fillId="22" borderId="57" applyNumberFormat="0" applyAlignment="0" applyProtection="0"/>
    <xf numFmtId="0" fontId="48" fillId="0" borderId="62" applyNumberFormat="0" applyFill="0" applyAlignment="0" applyProtection="0"/>
    <xf numFmtId="0" fontId="49" fillId="37" borderId="0" applyNumberFormat="0" applyBorder="0" applyAlignment="0" applyProtection="0"/>
    <xf numFmtId="0" fontId="17" fillId="38" borderId="63" applyNumberFormat="0" applyFont="0" applyAlignment="0" applyProtection="0"/>
    <xf numFmtId="0" fontId="50" fillId="35" borderId="64" applyNumberFormat="0" applyAlignment="0" applyProtection="0"/>
    <xf numFmtId="0" fontId="51" fillId="0" borderId="0" applyNumberFormat="0" applyFill="0" applyBorder="0" applyAlignment="0" applyProtection="0"/>
    <xf numFmtId="0" fontId="52" fillId="0" borderId="65" applyNumberFormat="0" applyFill="0" applyAlignment="0" applyProtection="0"/>
    <xf numFmtId="0" fontId="22" fillId="0" borderId="0" applyNumberFormat="0" applyFill="0" applyBorder="0" applyAlignment="0" applyProtection="0"/>
    <xf numFmtId="44" fontId="56" fillId="0" borderId="0" applyFont="0" applyFill="0" applyBorder="0" applyAlignment="0" applyProtection="0"/>
  </cellStyleXfs>
  <cellXfs count="850">
    <xf numFmtId="0" fontId="0" fillId="0" borderId="0" xfId="0"/>
    <xf numFmtId="0" fontId="0" fillId="0" borderId="0" xfId="0" applyAlignment="1">
      <alignment horizontal="center" vertical="center"/>
    </xf>
    <xf numFmtId="0" fontId="0" fillId="0" borderId="0" xfId="0" applyAlignment="1">
      <alignment horizontal="left"/>
    </xf>
    <xf numFmtId="0" fontId="0" fillId="0" borderId="4" xfId="0" applyBorder="1" applyAlignment="1">
      <alignment horizontal="right"/>
    </xf>
    <xf numFmtId="0" fontId="0" fillId="0" borderId="5" xfId="0" applyBorder="1" applyAlignment="1">
      <alignment horizontal="right"/>
    </xf>
    <xf numFmtId="0" fontId="0" fillId="3" borderId="2" xfId="0" applyFill="1" applyBorder="1" applyAlignment="1">
      <alignment horizontal="left" vertical="center"/>
    </xf>
    <xf numFmtId="0" fontId="0" fillId="3" borderId="3" xfId="0" applyFill="1" applyBorder="1" applyAlignment="1">
      <alignment horizontal="left" vertical="center"/>
    </xf>
    <xf numFmtId="0" fontId="0" fillId="0" borderId="0" xfId="0" applyAlignment="1">
      <alignment horizontal="right"/>
    </xf>
    <xf numFmtId="0" fontId="1" fillId="0" borderId="0" xfId="0" applyFont="1" applyAlignment="1">
      <alignment horizontal="center" vertical="center"/>
    </xf>
    <xf numFmtId="0" fontId="0" fillId="3" borderId="8" xfId="0" applyFill="1" applyBorder="1" applyAlignment="1">
      <alignment horizontal="center" vertical="center"/>
    </xf>
    <xf numFmtId="0" fontId="0" fillId="0" borderId="8" xfId="0" applyBorder="1" applyAlignment="1">
      <alignment horizontal="center" vertical="center"/>
    </xf>
    <xf numFmtId="0" fontId="0" fillId="0" borderId="7" xfId="0" applyBorder="1" applyAlignment="1">
      <alignment horizontal="center" vertical="center"/>
    </xf>
    <xf numFmtId="0" fontId="1" fillId="0" borderId="1" xfId="0" applyFont="1" applyBorder="1" applyAlignment="1">
      <alignment horizontal="center" vertical="center"/>
    </xf>
    <xf numFmtId="0" fontId="1" fillId="0" borderId="4" xfId="0" applyFont="1" applyBorder="1" applyAlignment="1">
      <alignment wrapText="1"/>
    </xf>
    <xf numFmtId="0" fontId="1" fillId="0" borderId="8" xfId="0" applyFont="1" applyBorder="1" applyAlignment="1">
      <alignment wrapText="1"/>
    </xf>
    <xf numFmtId="0" fontId="1" fillId="0" borderId="5" xfId="0" applyFont="1" applyBorder="1" applyAlignment="1">
      <alignment wrapText="1"/>
    </xf>
    <xf numFmtId="0" fontId="1" fillId="0" borderId="0" xfId="0" applyFont="1" applyAlignment="1">
      <alignment horizontal="righ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4" borderId="1" xfId="0" applyFill="1" applyBorder="1" applyAlignment="1">
      <alignment horizontal="left" vertical="center"/>
    </xf>
    <xf numFmtId="1" fontId="0" fillId="3" borderId="7" xfId="0" applyNumberFormat="1" applyFill="1" applyBorder="1" applyAlignment="1">
      <alignment horizontal="center" vertical="center"/>
    </xf>
    <xf numFmtId="1" fontId="0" fillId="3" borderId="8" xfId="0" applyNumberFormat="1" applyFill="1" applyBorder="1" applyAlignment="1">
      <alignment horizontal="center" vertical="center"/>
    </xf>
    <xf numFmtId="1" fontId="0" fillId="5" borderId="8" xfId="0" applyNumberFormat="1" applyFill="1" applyBorder="1" applyAlignment="1">
      <alignment horizontal="center" vertical="center"/>
    </xf>
    <xf numFmtId="1" fontId="0" fillId="3" borderId="5" xfId="0" applyNumberFormat="1" applyFill="1" applyBorder="1" applyAlignment="1">
      <alignment horizontal="center" vertical="center"/>
    </xf>
    <xf numFmtId="1" fontId="0" fillId="0" borderId="0" xfId="0" applyNumberFormat="1"/>
    <xf numFmtId="2" fontId="0" fillId="3" borderId="7" xfId="0" applyNumberFormat="1" applyFill="1" applyBorder="1" applyAlignment="1">
      <alignment horizontal="center" vertical="center"/>
    </xf>
    <xf numFmtId="2" fontId="0" fillId="3" borderId="8" xfId="0" applyNumberFormat="1" applyFill="1" applyBorder="1" applyAlignment="1">
      <alignment horizontal="center" vertical="center"/>
    </xf>
    <xf numFmtId="1" fontId="0" fillId="0" borderId="5" xfId="0" applyNumberFormat="1" applyBorder="1" applyAlignment="1">
      <alignment horizontal="center" vertical="center"/>
    </xf>
    <xf numFmtId="1" fontId="0" fillId="0" borderId="1" xfId="0" applyNumberFormat="1" applyBorder="1" applyAlignment="1">
      <alignment horizontal="left" vertical="center"/>
    </xf>
    <xf numFmtId="1" fontId="0" fillId="3" borderId="8" xfId="0" applyNumberFormat="1" applyFill="1" applyBorder="1" applyAlignment="1" applyProtection="1">
      <alignment horizontal="center" vertical="center"/>
      <protection locked="0"/>
    </xf>
    <xf numFmtId="1" fontId="0" fillId="3" borderId="5" xfId="0" applyNumberFormat="1" applyFill="1" applyBorder="1" applyAlignment="1" applyProtection="1">
      <alignment horizontal="center" vertical="center"/>
      <protection locked="0"/>
    </xf>
    <xf numFmtId="9" fontId="0" fillId="3" borderId="5"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protection locked="0"/>
    </xf>
    <xf numFmtId="9" fontId="0" fillId="3" borderId="1" xfId="0" applyNumberFormat="1" applyFill="1" applyBorder="1" applyAlignment="1" applyProtection="1">
      <alignment horizontal="center" vertical="center"/>
      <protection locked="0"/>
    </xf>
    <xf numFmtId="0" fontId="5" fillId="3" borderId="1" xfId="0" applyFont="1" applyFill="1" applyBorder="1" applyAlignment="1" applyProtection="1">
      <alignment horizontal="center" vertical="center"/>
      <protection locked="0"/>
    </xf>
    <xf numFmtId="1" fontId="0" fillId="3" borderId="4" xfId="0" applyNumberFormat="1" applyFill="1" applyBorder="1" applyAlignment="1" applyProtection="1">
      <alignment horizontal="center" vertical="center"/>
      <protection locked="0"/>
    </xf>
    <xf numFmtId="0" fontId="0" fillId="0" borderId="0" xfId="0" applyAlignment="1">
      <alignment wrapText="1"/>
    </xf>
    <xf numFmtId="0" fontId="0" fillId="0" borderId="0" xfId="0" applyAlignment="1">
      <alignment vertical="center"/>
    </xf>
    <xf numFmtId="1" fontId="0" fillId="3" borderId="9" xfId="0" applyNumberFormat="1" applyFill="1" applyBorder="1" applyAlignment="1" applyProtection="1">
      <alignment horizontal="center" vertical="center"/>
      <protection locked="0"/>
    </xf>
    <xf numFmtId="9" fontId="0" fillId="3" borderId="4" xfId="0" applyNumberFormat="1" applyFill="1" applyBorder="1" applyAlignment="1" applyProtection="1">
      <alignment horizontal="center" vertical="center"/>
      <protection locked="0"/>
    </xf>
    <xf numFmtId="0" fontId="15" fillId="0" borderId="0" xfId="0" applyFont="1"/>
    <xf numFmtId="0" fontId="16" fillId="6" borderId="22" xfId="0" applyFont="1" applyFill="1" applyBorder="1"/>
    <xf numFmtId="0" fontId="16" fillId="6" borderId="38" xfId="0" applyFont="1" applyFill="1" applyBorder="1" applyAlignment="1">
      <alignment horizontal="center"/>
    </xf>
    <xf numFmtId="0" fontId="16" fillId="6" borderId="39" xfId="0" applyFont="1" applyFill="1" applyBorder="1" applyAlignment="1">
      <alignment horizontal="center"/>
    </xf>
    <xf numFmtId="0" fontId="17" fillId="6" borderId="24" xfId="0" applyFont="1" applyFill="1" applyBorder="1"/>
    <xf numFmtId="0" fontId="17" fillId="6" borderId="31" xfId="0" applyFont="1" applyFill="1" applyBorder="1"/>
    <xf numFmtId="0" fontId="17" fillId="6" borderId="42" xfId="0" applyFont="1" applyFill="1" applyBorder="1"/>
    <xf numFmtId="0" fontId="18" fillId="6" borderId="24" xfId="0" applyFont="1" applyFill="1" applyBorder="1" applyAlignment="1">
      <alignment horizontal="center"/>
    </xf>
    <xf numFmtId="0" fontId="18" fillId="6" borderId="25" xfId="0" applyFont="1" applyFill="1" applyBorder="1" applyAlignment="1">
      <alignment horizontal="center"/>
    </xf>
    <xf numFmtId="0" fontId="16" fillId="6" borderId="24" xfId="0" applyFont="1" applyFill="1" applyBorder="1" applyAlignment="1">
      <alignment horizontal="center"/>
    </xf>
    <xf numFmtId="0" fontId="16" fillId="6" borderId="25" xfId="0" applyFont="1" applyFill="1" applyBorder="1" applyAlignment="1">
      <alignment horizontal="center"/>
    </xf>
    <xf numFmtId="0" fontId="17" fillId="6" borderId="26" xfId="0" applyFont="1" applyFill="1" applyBorder="1"/>
    <xf numFmtId="0" fontId="17" fillId="6" borderId="35" xfId="0" applyFont="1" applyFill="1" applyBorder="1"/>
    <xf numFmtId="2" fontId="19" fillId="7" borderId="0" xfId="0" applyNumberFormat="1" applyFont="1" applyFill="1"/>
    <xf numFmtId="2" fontId="19" fillId="6" borderId="26" xfId="0" applyNumberFormat="1" applyFont="1" applyFill="1" applyBorder="1"/>
    <xf numFmtId="2" fontId="19" fillId="6" borderId="27" xfId="0" applyNumberFormat="1" applyFont="1" applyFill="1" applyBorder="1"/>
    <xf numFmtId="0" fontId="16" fillId="8" borderId="22" xfId="0" applyFont="1" applyFill="1" applyBorder="1"/>
    <xf numFmtId="0" fontId="17" fillId="8" borderId="34" xfId="0" applyFont="1" applyFill="1" applyBorder="1"/>
    <xf numFmtId="0" fontId="17" fillId="8" borderId="43" xfId="0" applyFont="1" applyFill="1" applyBorder="1"/>
    <xf numFmtId="2" fontId="0" fillId="8" borderId="22" xfId="0" applyNumberFormat="1" applyFill="1" applyBorder="1"/>
    <xf numFmtId="0" fontId="0" fillId="8" borderId="23" xfId="0" applyFill="1" applyBorder="1"/>
    <xf numFmtId="0" fontId="17" fillId="8" borderId="40" xfId="0" applyFont="1" applyFill="1" applyBorder="1"/>
    <xf numFmtId="0" fontId="0" fillId="8" borderId="38" xfId="0" applyFill="1" applyBorder="1" applyAlignment="1">
      <alignment horizontal="center"/>
    </xf>
    <xf numFmtId="2" fontId="0" fillId="9" borderId="0" xfId="0" applyNumberFormat="1" applyFill="1"/>
    <xf numFmtId="0" fontId="17" fillId="8" borderId="24" xfId="0" applyFont="1" applyFill="1" applyBorder="1"/>
    <xf numFmtId="0" fontId="22" fillId="8" borderId="31" xfId="0" applyFont="1" applyFill="1" applyBorder="1" applyAlignment="1">
      <alignment horizontal="center"/>
    </xf>
    <xf numFmtId="164" fontId="20" fillId="8" borderId="42" xfId="0" applyNumberFormat="1" applyFont="1" applyFill="1" applyBorder="1" applyAlignment="1">
      <alignment horizontal="center"/>
    </xf>
    <xf numFmtId="0" fontId="17" fillId="8" borderId="44" xfId="0" applyFont="1" applyFill="1" applyBorder="1"/>
    <xf numFmtId="0" fontId="22" fillId="8" borderId="45" xfId="0" applyFont="1" applyFill="1" applyBorder="1" applyAlignment="1">
      <alignment horizontal="center"/>
    </xf>
    <xf numFmtId="164" fontId="20" fillId="8" borderId="46" xfId="0" applyNumberFormat="1" applyFont="1" applyFill="1" applyBorder="1" applyAlignment="1">
      <alignment horizontal="center"/>
    </xf>
    <xf numFmtId="0" fontId="16" fillId="10" borderId="22" xfId="0" applyFont="1" applyFill="1" applyBorder="1" applyAlignment="1">
      <alignment horizontal="left"/>
    </xf>
    <xf numFmtId="0" fontId="22" fillId="10" borderId="34" xfId="0" applyFont="1" applyFill="1" applyBorder="1" applyAlignment="1">
      <alignment horizontal="center"/>
    </xf>
    <xf numFmtId="164" fontId="0" fillId="10" borderId="43" xfId="0" applyNumberFormat="1" applyFill="1" applyBorder="1" applyAlignment="1">
      <alignment horizontal="center"/>
    </xf>
    <xf numFmtId="0" fontId="17" fillId="10" borderId="40" xfId="0" applyFont="1" applyFill="1" applyBorder="1"/>
    <xf numFmtId="0" fontId="22" fillId="10" borderId="38" xfId="0" applyFont="1" applyFill="1" applyBorder="1" applyAlignment="1">
      <alignment horizontal="center"/>
    </xf>
    <xf numFmtId="164" fontId="17" fillId="10" borderId="39" xfId="0" applyNumberFormat="1" applyFont="1" applyFill="1" applyBorder="1" applyAlignment="1">
      <alignment horizontal="center"/>
    </xf>
    <xf numFmtId="0" fontId="17" fillId="10" borderId="24" xfId="0" applyFont="1" applyFill="1" applyBorder="1"/>
    <xf numFmtId="164" fontId="20" fillId="10" borderId="42" xfId="0" applyNumberFormat="1" applyFont="1" applyFill="1" applyBorder="1" applyAlignment="1">
      <alignment horizontal="center"/>
    </xf>
    <xf numFmtId="2" fontId="21" fillId="10" borderId="24" xfId="0" applyNumberFormat="1" applyFont="1" applyFill="1" applyBorder="1"/>
    <xf numFmtId="0" fontId="22" fillId="10" borderId="31" xfId="0" applyFont="1" applyFill="1" applyBorder="1" applyAlignment="1">
      <alignment horizontal="center"/>
    </xf>
    <xf numFmtId="0" fontId="16" fillId="11" borderId="22" xfId="0" applyFont="1" applyFill="1" applyBorder="1" applyAlignment="1">
      <alignment horizontal="left"/>
    </xf>
    <xf numFmtId="0" fontId="22" fillId="11" borderId="34" xfId="0" applyFont="1" applyFill="1" applyBorder="1" applyAlignment="1">
      <alignment horizontal="center"/>
    </xf>
    <xf numFmtId="164" fontId="20" fillId="11" borderId="43" xfId="0" applyNumberFormat="1" applyFont="1" applyFill="1" applyBorder="1" applyAlignment="1">
      <alignment horizontal="center"/>
    </xf>
    <xf numFmtId="0" fontId="0" fillId="11" borderId="22" xfId="0" applyFill="1" applyBorder="1"/>
    <xf numFmtId="0" fontId="0" fillId="11" borderId="23" xfId="0" applyFill="1" applyBorder="1"/>
    <xf numFmtId="0" fontId="17" fillId="11" borderId="40" xfId="0" applyFont="1" applyFill="1" applyBorder="1"/>
    <xf numFmtId="0" fontId="22" fillId="11" borderId="38" xfId="0" applyFont="1" applyFill="1" applyBorder="1" applyAlignment="1">
      <alignment horizontal="center"/>
    </xf>
    <xf numFmtId="164" fontId="0" fillId="11" borderId="39" xfId="0" applyNumberFormat="1" applyFill="1" applyBorder="1" applyAlignment="1">
      <alignment horizontal="center"/>
    </xf>
    <xf numFmtId="0" fontId="17" fillId="11" borderId="24" xfId="0" applyFont="1" applyFill="1" applyBorder="1"/>
    <xf numFmtId="0" fontId="22" fillId="11" borderId="31" xfId="0" applyFont="1" applyFill="1" applyBorder="1" applyAlignment="1">
      <alignment horizontal="center"/>
    </xf>
    <xf numFmtId="164" fontId="20" fillId="11" borderId="42" xfId="0" applyNumberFormat="1" applyFont="1" applyFill="1" applyBorder="1" applyAlignment="1">
      <alignment horizontal="center"/>
    </xf>
    <xf numFmtId="1" fontId="22" fillId="11" borderId="31" xfId="0" applyNumberFormat="1" applyFont="1" applyFill="1" applyBorder="1" applyAlignment="1">
      <alignment horizontal="center"/>
    </xf>
    <xf numFmtId="0" fontId="0" fillId="12" borderId="48" xfId="0" applyFill="1" applyBorder="1"/>
    <xf numFmtId="164" fontId="20" fillId="12" borderId="42" xfId="0" applyNumberFormat="1" applyFont="1" applyFill="1" applyBorder="1" applyAlignment="1">
      <alignment horizontal="center"/>
    </xf>
    <xf numFmtId="0" fontId="17" fillId="12" borderId="24" xfId="0" applyFont="1" applyFill="1" applyBorder="1"/>
    <xf numFmtId="0" fontId="20" fillId="11" borderId="42" xfId="0" applyFont="1" applyFill="1" applyBorder="1" applyAlignment="1">
      <alignment horizontal="center"/>
    </xf>
    <xf numFmtId="0" fontId="0" fillId="12" borderId="48" xfId="0" applyFill="1" applyBorder="1" applyAlignment="1">
      <alignment horizontal="left" vertical="top"/>
    </xf>
    <xf numFmtId="0" fontId="22" fillId="12" borderId="31" xfId="0" applyFont="1" applyFill="1" applyBorder="1" applyAlignment="1">
      <alignment horizontal="center"/>
    </xf>
    <xf numFmtId="0" fontId="17" fillId="6" borderId="20" xfId="0" applyFont="1" applyFill="1" applyBorder="1"/>
    <xf numFmtId="0" fontId="17" fillId="6" borderId="49" xfId="0" applyFont="1" applyFill="1" applyBorder="1"/>
    <xf numFmtId="0" fontId="17" fillId="6" borderId="28" xfId="0" applyFont="1" applyFill="1" applyBorder="1"/>
    <xf numFmtId="2" fontId="0" fillId="6" borderId="20" xfId="0" applyNumberFormat="1" applyFill="1" applyBorder="1"/>
    <xf numFmtId="2" fontId="0" fillId="6" borderId="21" xfId="0" applyNumberFormat="1" applyFill="1" applyBorder="1"/>
    <xf numFmtId="0" fontId="17" fillId="13" borderId="38" xfId="0" applyFont="1" applyFill="1" applyBorder="1" applyAlignment="1">
      <alignment horizontal="left"/>
    </xf>
    <xf numFmtId="0" fontId="17" fillId="13" borderId="38" xfId="0" applyFont="1" applyFill="1" applyBorder="1" applyAlignment="1">
      <alignment horizontal="center"/>
    </xf>
    <xf numFmtId="165" fontId="23" fillId="13" borderId="39" xfId="0" applyNumberFormat="1" applyFont="1" applyFill="1" applyBorder="1" applyAlignment="1">
      <alignment horizontal="center"/>
    </xf>
    <xf numFmtId="0" fontId="0" fillId="13" borderId="31" xfId="0" applyFill="1" applyBorder="1" applyAlignment="1">
      <alignment horizontal="left"/>
    </xf>
    <xf numFmtId="0" fontId="17" fillId="13" borderId="31" xfId="0" applyFont="1" applyFill="1" applyBorder="1"/>
    <xf numFmtId="0" fontId="17" fillId="13" borderId="42" xfId="0" applyFont="1" applyFill="1" applyBorder="1" applyAlignment="1">
      <alignment horizontal="center"/>
    </xf>
    <xf numFmtId="2" fontId="17" fillId="13" borderId="40" xfId="0" applyNumberFormat="1" applyFont="1" applyFill="1" applyBorder="1"/>
    <xf numFmtId="2" fontId="17" fillId="13" borderId="41" xfId="0" applyNumberFormat="1" applyFont="1" applyFill="1" applyBorder="1"/>
    <xf numFmtId="0" fontId="0" fillId="13" borderId="45" xfId="0" applyFill="1" applyBorder="1" applyAlignment="1">
      <alignment horizontal="left"/>
    </xf>
    <xf numFmtId="0" fontId="0" fillId="13" borderId="45" xfId="0" applyFill="1" applyBorder="1" applyAlignment="1">
      <alignment horizontal="center"/>
    </xf>
    <xf numFmtId="164" fontId="0" fillId="13" borderId="46" xfId="0" applyNumberFormat="1" applyFill="1" applyBorder="1" applyAlignment="1">
      <alignment horizontal="center"/>
    </xf>
    <xf numFmtId="2" fontId="0" fillId="13" borderId="44" xfId="0" applyNumberFormat="1" applyFill="1" applyBorder="1"/>
    <xf numFmtId="2" fontId="0" fillId="13" borderId="47" xfId="0" applyNumberFormat="1" applyFill="1" applyBorder="1"/>
    <xf numFmtId="0" fontId="0" fillId="13" borderId="20" xfId="0" applyFill="1" applyBorder="1" applyAlignment="1">
      <alignment horizontal="left"/>
    </xf>
    <xf numFmtId="0" fontId="0" fillId="13" borderId="49" xfId="0" applyFill="1" applyBorder="1"/>
    <xf numFmtId="0" fontId="0" fillId="13" borderId="28" xfId="0" applyFill="1" applyBorder="1"/>
    <xf numFmtId="2" fontId="0" fillId="13" borderId="20" xfId="0" applyNumberFormat="1" applyFill="1" applyBorder="1"/>
    <xf numFmtId="2" fontId="0" fillId="13" borderId="21" xfId="0" applyNumberFormat="1" applyFill="1" applyBorder="1"/>
    <xf numFmtId="0" fontId="0" fillId="13" borderId="38" xfId="0" applyFill="1" applyBorder="1" applyAlignment="1">
      <alignment horizontal="left"/>
    </xf>
    <xf numFmtId="0" fontId="0" fillId="13" borderId="38" xfId="0" applyFill="1" applyBorder="1"/>
    <xf numFmtId="0" fontId="0" fillId="13" borderId="39" xfId="0" applyFill="1" applyBorder="1"/>
    <xf numFmtId="2" fontId="0" fillId="13" borderId="40" xfId="0" applyNumberFormat="1" applyFill="1" applyBorder="1"/>
    <xf numFmtId="0" fontId="17" fillId="13" borderId="45" xfId="0" applyFont="1" applyFill="1" applyBorder="1" applyAlignment="1">
      <alignment horizontal="center"/>
    </xf>
    <xf numFmtId="2" fontId="0" fillId="13" borderId="46" xfId="0" applyNumberFormat="1" applyFill="1" applyBorder="1" applyAlignment="1">
      <alignment horizontal="right"/>
    </xf>
    <xf numFmtId="2" fontId="0" fillId="13" borderId="44" xfId="0" applyNumberFormat="1" applyFill="1" applyBorder="1" applyAlignment="1">
      <alignment horizontal="right"/>
    </xf>
    <xf numFmtId="2" fontId="0" fillId="13" borderId="47" xfId="0" applyNumberFormat="1" applyFill="1" applyBorder="1" applyAlignment="1">
      <alignment horizontal="right"/>
    </xf>
    <xf numFmtId="165" fontId="0" fillId="13" borderId="44" xfId="0" applyNumberFormat="1" applyFill="1" applyBorder="1" applyAlignment="1">
      <alignment horizontal="right"/>
    </xf>
    <xf numFmtId="0" fontId="16" fillId="13" borderId="50" xfId="0" applyFont="1" applyFill="1" applyBorder="1"/>
    <xf numFmtId="0" fontId="16" fillId="13" borderId="51" xfId="0" applyFont="1" applyFill="1" applyBorder="1"/>
    <xf numFmtId="165" fontId="16" fillId="13" borderId="52" xfId="0" applyNumberFormat="1" applyFont="1" applyFill="1" applyBorder="1" applyAlignment="1">
      <alignment horizontal="center"/>
    </xf>
    <xf numFmtId="0" fontId="16" fillId="13" borderId="20" xfId="0" applyFont="1" applyFill="1" applyBorder="1" applyAlignment="1">
      <alignment horizontal="left"/>
    </xf>
    <xf numFmtId="0" fontId="16" fillId="13" borderId="49" xfId="0" applyFont="1" applyFill="1" applyBorder="1"/>
    <xf numFmtId="165" fontId="26" fillId="13" borderId="28" xfId="0" applyNumberFormat="1" applyFont="1" applyFill="1" applyBorder="1" applyAlignment="1">
      <alignment horizontal="center"/>
    </xf>
    <xf numFmtId="165" fontId="19" fillId="13" borderId="28" xfId="0" applyNumberFormat="1" applyFont="1" applyFill="1" applyBorder="1" applyAlignment="1">
      <alignment horizontal="center"/>
    </xf>
    <xf numFmtId="0" fontId="17" fillId="0" borderId="20" xfId="0" applyFont="1" applyBorder="1" applyAlignment="1">
      <alignment horizontal="center"/>
    </xf>
    <xf numFmtId="0" fontId="17" fillId="0" borderId="28" xfId="0" applyFont="1" applyBorder="1" applyAlignment="1">
      <alignment horizontal="center"/>
    </xf>
    <xf numFmtId="0" fontId="0" fillId="0" borderId="22" xfId="0" applyBorder="1"/>
    <xf numFmtId="164" fontId="20" fillId="0" borderId="38" xfId="0" applyNumberFormat="1" applyFont="1" applyBorder="1"/>
    <xf numFmtId="164" fontId="20" fillId="0" borderId="39" xfId="0" applyNumberFormat="1" applyFont="1" applyBorder="1"/>
    <xf numFmtId="0" fontId="0" fillId="0" borderId="24" xfId="0" applyBorder="1"/>
    <xf numFmtId="164" fontId="20" fillId="0" borderId="31" xfId="0" applyNumberFormat="1" applyFont="1" applyBorder="1"/>
    <xf numFmtId="164" fontId="20" fillId="0" borderId="25" xfId="0" applyNumberFormat="1" applyFont="1" applyBorder="1"/>
    <xf numFmtId="0" fontId="0" fillId="0" borderId="26" xfId="0" applyBorder="1"/>
    <xf numFmtId="164" fontId="20" fillId="0" borderId="35" xfId="0" applyNumberFormat="1" applyFont="1" applyBorder="1"/>
    <xf numFmtId="164" fontId="20" fillId="0" borderId="27" xfId="0" applyNumberFormat="1" applyFont="1" applyBorder="1"/>
    <xf numFmtId="0" fontId="29" fillId="0" borderId="0" xfId="0" applyFont="1"/>
    <xf numFmtId="0" fontId="17" fillId="0" borderId="0" xfId="0" applyFont="1"/>
    <xf numFmtId="0" fontId="17" fillId="0" borderId="0" xfId="0" applyFont="1" applyAlignment="1">
      <alignment wrapText="1"/>
    </xf>
    <xf numFmtId="0" fontId="16" fillId="0" borderId="0" xfId="0" applyFont="1"/>
    <xf numFmtId="0" fontId="30" fillId="0" borderId="0" xfId="0" applyFont="1"/>
    <xf numFmtId="0" fontId="0" fillId="14" borderId="0" xfId="0" applyFill="1"/>
    <xf numFmtId="0" fontId="31" fillId="0" borderId="0" xfId="0" applyFont="1"/>
    <xf numFmtId="0" fontId="31" fillId="0" borderId="0" xfId="0" applyFont="1" applyAlignment="1">
      <alignment wrapText="1"/>
    </xf>
    <xf numFmtId="0" fontId="32" fillId="0" borderId="0" xfId="0" applyFont="1"/>
    <xf numFmtId="0" fontId="32" fillId="0" borderId="0" xfId="0" applyFont="1" applyAlignment="1">
      <alignment wrapText="1"/>
    </xf>
    <xf numFmtId="165" fontId="35" fillId="3" borderId="4" xfId="0" applyNumberFormat="1" applyFont="1" applyFill="1" applyBorder="1" applyAlignment="1" applyProtection="1">
      <alignment horizontal="center" vertical="center"/>
      <protection locked="0"/>
    </xf>
    <xf numFmtId="165" fontId="35" fillId="3" borderId="8" xfId="0" applyNumberFormat="1" applyFont="1" applyFill="1" applyBorder="1" applyAlignment="1" applyProtection="1">
      <alignment horizontal="center" vertical="center"/>
      <protection locked="0"/>
    </xf>
    <xf numFmtId="1" fontId="35" fillId="3" borderId="8" xfId="0" applyNumberFormat="1" applyFont="1" applyFill="1" applyBorder="1" applyAlignment="1" applyProtection="1">
      <alignment horizontal="center" vertical="center"/>
      <protection locked="0"/>
    </xf>
    <xf numFmtId="0" fontId="17" fillId="0" borderId="0" xfId="2"/>
    <xf numFmtId="164" fontId="20" fillId="0" borderId="27" xfId="2" applyNumberFormat="1" applyFont="1" applyBorder="1"/>
    <xf numFmtId="164" fontId="20" fillId="0" borderId="35" xfId="2" applyNumberFormat="1" applyFont="1" applyBorder="1"/>
    <xf numFmtId="0" fontId="17" fillId="0" borderId="26" xfId="2" applyBorder="1"/>
    <xf numFmtId="164" fontId="20" fillId="0" borderId="25" xfId="2" applyNumberFormat="1" applyFont="1" applyBorder="1"/>
    <xf numFmtId="164" fontId="20" fillId="0" borderId="31" xfId="2" applyNumberFormat="1" applyFont="1" applyBorder="1"/>
    <xf numFmtId="0" fontId="17" fillId="0" borderId="24" xfId="2" applyBorder="1"/>
    <xf numFmtId="164" fontId="20" fillId="0" borderId="41" xfId="2" applyNumberFormat="1" applyFont="1" applyBorder="1"/>
    <xf numFmtId="164" fontId="20" fillId="0" borderId="38" xfId="2" applyNumberFormat="1" applyFont="1" applyBorder="1"/>
    <xf numFmtId="0" fontId="17" fillId="0" borderId="22" xfId="2" applyBorder="1"/>
    <xf numFmtId="0" fontId="17" fillId="0" borderId="21" xfId="2" applyBorder="1" applyAlignment="1">
      <alignment horizontal="center"/>
    </xf>
    <xf numFmtId="0" fontId="17" fillId="0" borderId="20" xfId="2" applyBorder="1" applyAlignment="1">
      <alignment horizontal="center"/>
    </xf>
    <xf numFmtId="165" fontId="19" fillId="13" borderId="28" xfId="2" applyNumberFormat="1" applyFont="1" applyFill="1" applyBorder="1" applyAlignment="1">
      <alignment horizontal="center"/>
    </xf>
    <xf numFmtId="0" fontId="16" fillId="13" borderId="49" xfId="2" applyFont="1" applyFill="1" applyBorder="1"/>
    <xf numFmtId="0" fontId="16" fillId="13" borderId="20" xfId="2" applyFont="1" applyFill="1" applyBorder="1" applyAlignment="1">
      <alignment horizontal="left"/>
    </xf>
    <xf numFmtId="165" fontId="26" fillId="13" borderId="28" xfId="2" applyNumberFormat="1" applyFont="1" applyFill="1" applyBorder="1" applyAlignment="1">
      <alignment horizontal="center"/>
    </xf>
    <xf numFmtId="165" fontId="16" fillId="13" borderId="52" xfId="2" applyNumberFormat="1" applyFont="1" applyFill="1" applyBorder="1" applyAlignment="1">
      <alignment horizontal="center"/>
    </xf>
    <xf numFmtId="0" fontId="16" fillId="13" borderId="51" xfId="2" applyFont="1" applyFill="1" applyBorder="1"/>
    <xf numFmtId="0" fontId="16" fillId="13" borderId="50" xfId="2" applyFont="1" applyFill="1" applyBorder="1"/>
    <xf numFmtId="2" fontId="17" fillId="13" borderId="47" xfId="2" applyNumberFormat="1" applyFill="1" applyBorder="1" applyAlignment="1">
      <alignment horizontal="right"/>
    </xf>
    <xf numFmtId="165" fontId="17" fillId="13" borderId="44" xfId="2" applyNumberFormat="1" applyFill="1" applyBorder="1" applyAlignment="1">
      <alignment horizontal="right"/>
    </xf>
    <xf numFmtId="2" fontId="17" fillId="13" borderId="44" xfId="2" applyNumberFormat="1" applyFill="1" applyBorder="1" applyAlignment="1">
      <alignment horizontal="right"/>
    </xf>
    <xf numFmtId="2" fontId="17" fillId="13" borderId="46" xfId="2" applyNumberFormat="1" applyFill="1" applyBorder="1" applyAlignment="1">
      <alignment horizontal="right"/>
    </xf>
    <xf numFmtId="0" fontId="17" fillId="13" borderId="45" xfId="2" applyFill="1" applyBorder="1" applyAlignment="1">
      <alignment horizontal="left"/>
    </xf>
    <xf numFmtId="2" fontId="17" fillId="13" borderId="40" xfId="2" applyNumberFormat="1" applyFill="1" applyBorder="1"/>
    <xf numFmtId="0" fontId="17" fillId="13" borderId="39" xfId="2" applyFill="1" applyBorder="1"/>
    <xf numFmtId="0" fontId="17" fillId="13" borderId="38" xfId="2" applyFill="1" applyBorder="1"/>
    <xf numFmtId="0" fontId="17" fillId="13" borderId="38" xfId="2" applyFill="1" applyBorder="1" applyAlignment="1">
      <alignment horizontal="left"/>
    </xf>
    <xf numFmtId="2" fontId="17" fillId="13" borderId="21" xfId="2" applyNumberFormat="1" applyFill="1" applyBorder="1"/>
    <xf numFmtId="2" fontId="17" fillId="13" borderId="20" xfId="2" applyNumberFormat="1" applyFill="1" applyBorder="1"/>
    <xf numFmtId="0" fontId="17" fillId="13" borderId="28" xfId="2" applyFill="1" applyBorder="1"/>
    <xf numFmtId="0" fontId="17" fillId="13" borderId="49" xfId="2" applyFill="1" applyBorder="1"/>
    <xf numFmtId="0" fontId="17" fillId="13" borderId="20" xfId="2" applyFill="1" applyBorder="1" applyAlignment="1">
      <alignment horizontal="left"/>
    </xf>
    <xf numFmtId="2" fontId="17" fillId="13" borderId="47" xfId="2" applyNumberFormat="1" applyFill="1" applyBorder="1"/>
    <xf numFmtId="2" fontId="17" fillId="13" borderId="44" xfId="2" applyNumberFormat="1" applyFill="1" applyBorder="1"/>
    <xf numFmtId="164" fontId="17" fillId="13" borderId="46" xfId="2" applyNumberFormat="1" applyFill="1" applyBorder="1" applyAlignment="1">
      <alignment horizontal="center"/>
    </xf>
    <xf numFmtId="0" fontId="17" fillId="13" borderId="45" xfId="2" applyFill="1" applyBorder="1" applyAlignment="1">
      <alignment horizontal="center"/>
    </xf>
    <xf numFmtId="0" fontId="17" fillId="13" borderId="31" xfId="2" applyFill="1" applyBorder="1" applyAlignment="1">
      <alignment horizontal="left"/>
    </xf>
    <xf numFmtId="165" fontId="23" fillId="13" borderId="39" xfId="2" applyNumberFormat="1" applyFont="1" applyFill="1" applyBorder="1" applyAlignment="1">
      <alignment horizontal="center"/>
    </xf>
    <xf numFmtId="2" fontId="17" fillId="6" borderId="21" xfId="2" applyNumberFormat="1" applyFill="1" applyBorder="1"/>
    <xf numFmtId="2" fontId="17" fillId="6" borderId="20" xfId="2" applyNumberFormat="1" applyFill="1" applyBorder="1"/>
    <xf numFmtId="164" fontId="20" fillId="11" borderId="42" xfId="2" applyNumberFormat="1" applyFont="1" applyFill="1" applyBorder="1" applyAlignment="1">
      <alignment horizontal="center"/>
    </xf>
    <xf numFmtId="0" fontId="22" fillId="11" borderId="31" xfId="2" applyFont="1" applyFill="1" applyBorder="1" applyAlignment="1">
      <alignment horizontal="center"/>
    </xf>
    <xf numFmtId="164" fontId="20" fillId="12" borderId="42" xfId="2" applyNumberFormat="1" applyFont="1" applyFill="1" applyBorder="1" applyAlignment="1">
      <alignment horizontal="center"/>
    </xf>
    <xf numFmtId="0" fontId="22" fillId="12" borderId="31" xfId="2" applyFont="1" applyFill="1" applyBorder="1" applyAlignment="1">
      <alignment horizontal="center"/>
    </xf>
    <xf numFmtId="0" fontId="17" fillId="12" borderId="48" xfId="2" applyFill="1" applyBorder="1"/>
    <xf numFmtId="0" fontId="17" fillId="12" borderId="48" xfId="2" applyFill="1" applyBorder="1" applyAlignment="1">
      <alignment horizontal="left" vertical="top"/>
    </xf>
    <xf numFmtId="0" fontId="20" fillId="11" borderId="42" xfId="2" applyFont="1" applyFill="1" applyBorder="1" applyAlignment="1">
      <alignment horizontal="center"/>
    </xf>
    <xf numFmtId="1" fontId="22" fillId="11" borderId="31" xfId="2" applyNumberFormat="1" applyFont="1" applyFill="1" applyBorder="1" applyAlignment="1">
      <alignment horizontal="center"/>
    </xf>
    <xf numFmtId="164" fontId="17" fillId="11" borderId="39" xfId="2" applyNumberFormat="1" applyFill="1" applyBorder="1" applyAlignment="1">
      <alignment horizontal="center"/>
    </xf>
    <xf numFmtId="0" fontId="22" fillId="11" borderId="38" xfId="2" applyFont="1" applyFill="1" applyBorder="1" applyAlignment="1">
      <alignment horizontal="center"/>
    </xf>
    <xf numFmtId="0" fontId="19" fillId="0" borderId="0" xfId="2" applyFont="1"/>
    <xf numFmtId="0" fontId="17" fillId="11" borderId="23" xfId="2" applyFill="1" applyBorder="1"/>
    <xf numFmtId="0" fontId="17" fillId="11" borderId="22" xfId="2" applyFill="1" applyBorder="1"/>
    <xf numFmtId="164" fontId="20" fillId="11" borderId="43" xfId="2" applyNumberFormat="1" applyFont="1" applyFill="1" applyBorder="1" applyAlignment="1">
      <alignment horizontal="center"/>
    </xf>
    <xf numFmtId="0" fontId="22" fillId="11" borderId="34" xfId="2" applyFont="1" applyFill="1" applyBorder="1" applyAlignment="1">
      <alignment horizontal="center"/>
    </xf>
    <xf numFmtId="0" fontId="16" fillId="11" borderId="22" xfId="2" applyFont="1" applyFill="1" applyBorder="1" applyAlignment="1">
      <alignment horizontal="left"/>
    </xf>
    <xf numFmtId="164" fontId="20" fillId="10" borderId="42" xfId="2" applyNumberFormat="1" applyFont="1" applyFill="1" applyBorder="1" applyAlignment="1">
      <alignment horizontal="center"/>
    </xf>
    <xf numFmtId="0" fontId="22" fillId="10" borderId="31" xfId="2" applyFont="1" applyFill="1" applyBorder="1" applyAlignment="1">
      <alignment horizontal="center"/>
    </xf>
    <xf numFmtId="2" fontId="21" fillId="10" borderId="24" xfId="2" applyNumberFormat="1" applyFont="1" applyFill="1" applyBorder="1"/>
    <xf numFmtId="0" fontId="22" fillId="10" borderId="38" xfId="2" applyFont="1" applyFill="1" applyBorder="1" applyAlignment="1">
      <alignment horizontal="center"/>
    </xf>
    <xf numFmtId="164" fontId="17" fillId="10" borderId="43" xfId="2" applyNumberFormat="1" applyFill="1" applyBorder="1" applyAlignment="1">
      <alignment horizontal="center"/>
    </xf>
    <xf numFmtId="0" fontId="22" fillId="10" borderId="34" xfId="2" applyFont="1" applyFill="1" applyBorder="1" applyAlignment="1">
      <alignment horizontal="center"/>
    </xf>
    <xf numFmtId="0" fontId="16" fillId="10" borderId="22" xfId="2" applyFont="1" applyFill="1" applyBorder="1" applyAlignment="1">
      <alignment horizontal="left"/>
    </xf>
    <xf numFmtId="164" fontId="20" fillId="8" borderId="46" xfId="2" applyNumberFormat="1" applyFont="1" applyFill="1" applyBorder="1" applyAlignment="1">
      <alignment horizontal="center"/>
    </xf>
    <xf numFmtId="0" fontId="22" fillId="8" borderId="45" xfId="2" applyFont="1" applyFill="1" applyBorder="1" applyAlignment="1">
      <alignment horizontal="center"/>
    </xf>
    <xf numFmtId="164" fontId="20" fillId="8" borderId="42" xfId="2" applyNumberFormat="1" applyFont="1" applyFill="1" applyBorder="1" applyAlignment="1">
      <alignment horizontal="center"/>
    </xf>
    <xf numFmtId="0" fontId="22" fillId="8" borderId="31" xfId="2" applyFont="1" applyFill="1" applyBorder="1" applyAlignment="1">
      <alignment horizontal="center"/>
    </xf>
    <xf numFmtId="2" fontId="17" fillId="9" borderId="0" xfId="2" applyNumberFormat="1" applyFill="1"/>
    <xf numFmtId="0" fontId="17" fillId="8" borderId="38" xfId="2" applyFill="1" applyBorder="1" applyAlignment="1">
      <alignment horizontal="center"/>
    </xf>
    <xf numFmtId="0" fontId="17" fillId="8" borderId="23" xfId="2" applyFill="1" applyBorder="1"/>
    <xf numFmtId="2" fontId="17" fillId="8" borderId="22" xfId="2" applyNumberFormat="1" applyFill="1" applyBorder="1"/>
    <xf numFmtId="0" fontId="16" fillId="8" borderId="22" xfId="2" applyFont="1" applyFill="1" applyBorder="1"/>
    <xf numFmtId="2" fontId="19" fillId="6" borderId="27" xfId="2" applyNumberFormat="1" applyFont="1" applyFill="1" applyBorder="1"/>
    <xf numFmtId="2" fontId="19" fillId="6" borderId="26" xfId="2" applyNumberFormat="1" applyFont="1" applyFill="1" applyBorder="1"/>
    <xf numFmtId="2" fontId="19" fillId="7" borderId="0" xfId="2" applyNumberFormat="1" applyFont="1" applyFill="1"/>
    <xf numFmtId="0" fontId="16" fillId="6" borderId="25" xfId="2" applyFont="1" applyFill="1" applyBorder="1" applyAlignment="1">
      <alignment horizontal="center"/>
    </xf>
    <xf numFmtId="0" fontId="16" fillId="6" borderId="24" xfId="2" applyFont="1" applyFill="1" applyBorder="1" applyAlignment="1">
      <alignment horizontal="center"/>
    </xf>
    <xf numFmtId="0" fontId="16" fillId="6" borderId="39" xfId="2" applyFont="1" applyFill="1" applyBorder="1" applyAlignment="1">
      <alignment horizontal="center"/>
    </xf>
    <xf numFmtId="0" fontId="16" fillId="6" borderId="38" xfId="2" applyFont="1" applyFill="1" applyBorder="1" applyAlignment="1">
      <alignment horizontal="center"/>
    </xf>
    <xf numFmtId="0" fontId="16" fillId="6" borderId="22" xfId="2" applyFont="1" applyFill="1" applyBorder="1"/>
    <xf numFmtId="0" fontId="15" fillId="0" borderId="0" xfId="2" applyFont="1"/>
    <xf numFmtId="0" fontId="0" fillId="3" borderId="56" xfId="0" applyFill="1" applyBorder="1" applyAlignment="1" applyProtection="1">
      <alignment horizontal="center" vertical="center"/>
      <protection locked="0"/>
    </xf>
    <xf numFmtId="0" fontId="0" fillId="3" borderId="3" xfId="0" applyFill="1" applyBorder="1" applyAlignment="1" applyProtection="1">
      <alignment horizontal="center" vertical="center"/>
      <protection locked="0"/>
    </xf>
    <xf numFmtId="0" fontId="0" fillId="0" borderId="31" xfId="0" applyBorder="1" applyAlignment="1">
      <alignment horizontal="center" vertical="center"/>
    </xf>
    <xf numFmtId="1" fontId="0" fillId="0" borderId="31" xfId="0" applyNumberFormat="1" applyBorder="1" applyAlignment="1">
      <alignment horizontal="center" vertical="center"/>
    </xf>
    <xf numFmtId="0" fontId="14" fillId="0" borderId="31" xfId="0" applyFont="1" applyBorder="1" applyAlignment="1">
      <alignment horizontal="center" vertical="center" wrapText="1"/>
    </xf>
    <xf numFmtId="1" fontId="14" fillId="0" borderId="31" xfId="0" applyNumberFormat="1" applyFont="1" applyBorder="1" applyAlignment="1">
      <alignment horizontal="center" vertical="center" wrapText="1"/>
    </xf>
    <xf numFmtId="0" fontId="0" fillId="0" borderId="25" xfId="0" applyBorder="1" applyAlignment="1">
      <alignment horizontal="center" vertical="center"/>
    </xf>
    <xf numFmtId="1" fontId="0" fillId="0" borderId="24" xfId="0" applyNumberFormat="1" applyBorder="1" applyAlignment="1">
      <alignment horizontal="center" vertical="center"/>
    </xf>
    <xf numFmtId="0" fontId="0" fillId="0" borderId="26" xfId="0" applyBorder="1" applyAlignment="1">
      <alignment horizontal="left" vertical="center"/>
    </xf>
    <xf numFmtId="0" fontId="0" fillId="0" borderId="35" xfId="0" applyBorder="1" applyAlignment="1">
      <alignment horizontal="center" vertical="center"/>
    </xf>
    <xf numFmtId="0" fontId="0" fillId="0" borderId="35" xfId="0" applyBorder="1"/>
    <xf numFmtId="0" fontId="0" fillId="0" borderId="27" xfId="0" applyBorder="1" applyAlignment="1">
      <alignment horizontal="center" vertical="center"/>
    </xf>
    <xf numFmtId="0" fontId="0" fillId="0" borderId="27" xfId="0" applyBorder="1"/>
    <xf numFmtId="0" fontId="1" fillId="0" borderId="20"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21" xfId="0" applyFont="1" applyBorder="1" applyAlignment="1">
      <alignment horizontal="center" vertical="center" wrapText="1"/>
    </xf>
    <xf numFmtId="0" fontId="0" fillId="3" borderId="1" xfId="0"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3" borderId="2" xfId="0" applyFill="1" applyBorder="1" applyAlignment="1" applyProtection="1">
      <alignment horizontal="left" vertical="center" wrapText="1"/>
      <protection locked="0"/>
    </xf>
    <xf numFmtId="2" fontId="20" fillId="8" borderId="22" xfId="0" applyNumberFormat="1" applyFont="1" applyFill="1" applyBorder="1"/>
    <xf numFmtId="2" fontId="20" fillId="8" borderId="23" xfId="0" applyNumberFormat="1" applyFont="1" applyFill="1" applyBorder="1"/>
    <xf numFmtId="2" fontId="21" fillId="8" borderId="40" xfId="0" applyNumberFormat="1" applyFont="1" applyFill="1" applyBorder="1"/>
    <xf numFmtId="2" fontId="17" fillId="9" borderId="41" xfId="0" applyNumberFormat="1" applyFont="1" applyFill="1" applyBorder="1"/>
    <xf numFmtId="2" fontId="17" fillId="8" borderId="40" xfId="0" applyNumberFormat="1" applyFont="1" applyFill="1" applyBorder="1"/>
    <xf numFmtId="2" fontId="17" fillId="8" borderId="41" xfId="0" applyNumberFormat="1" applyFont="1" applyFill="1" applyBorder="1"/>
    <xf numFmtId="2" fontId="17" fillId="8" borderId="24" xfId="0" applyNumberFormat="1" applyFont="1" applyFill="1" applyBorder="1"/>
    <xf numFmtId="2" fontId="17" fillId="8" borderId="25" xfId="0" applyNumberFormat="1" applyFont="1" applyFill="1" applyBorder="1"/>
    <xf numFmtId="2" fontId="17" fillId="8" borderId="44" xfId="0" applyNumberFormat="1" applyFont="1" applyFill="1" applyBorder="1"/>
    <xf numFmtId="2" fontId="17" fillId="8" borderId="47" xfId="0" applyNumberFormat="1" applyFont="1" applyFill="1" applyBorder="1"/>
    <xf numFmtId="2" fontId="17" fillId="10" borderId="22" xfId="0" applyNumberFormat="1" applyFont="1" applyFill="1" applyBorder="1"/>
    <xf numFmtId="2" fontId="17" fillId="10" borderId="23" xfId="0" applyNumberFormat="1" applyFont="1" applyFill="1" applyBorder="1"/>
    <xf numFmtId="2" fontId="17" fillId="10" borderId="40" xfId="0" applyNumberFormat="1" applyFont="1" applyFill="1" applyBorder="1"/>
    <xf numFmtId="2" fontId="17" fillId="10" borderId="41" xfId="0" applyNumberFormat="1" applyFont="1" applyFill="1" applyBorder="1"/>
    <xf numFmtId="2" fontId="17" fillId="10" borderId="25" xfId="0" applyNumberFormat="1" applyFont="1" applyFill="1" applyBorder="1"/>
    <xf numFmtId="2" fontId="17" fillId="10" borderId="24" xfId="0" applyNumberFormat="1" applyFont="1" applyFill="1" applyBorder="1"/>
    <xf numFmtId="2" fontId="17" fillId="11" borderId="22" xfId="0" applyNumberFormat="1" applyFont="1" applyFill="1" applyBorder="1"/>
    <xf numFmtId="2" fontId="17" fillId="11" borderId="23" xfId="0" applyNumberFormat="1" applyFont="1" applyFill="1" applyBorder="1"/>
    <xf numFmtId="2" fontId="17" fillId="11" borderId="40" xfId="0" applyNumberFormat="1" applyFont="1" applyFill="1" applyBorder="1"/>
    <xf numFmtId="2" fontId="17" fillId="11" borderId="41" xfId="0" applyNumberFormat="1" applyFont="1" applyFill="1" applyBorder="1"/>
    <xf numFmtId="2" fontId="17" fillId="11" borderId="24" xfId="0" applyNumberFormat="1" applyFont="1" applyFill="1" applyBorder="1"/>
    <xf numFmtId="2" fontId="17" fillId="11" borderId="25" xfId="0" applyNumberFormat="1" applyFont="1" applyFill="1" applyBorder="1"/>
    <xf numFmtId="2" fontId="17" fillId="12" borderId="24" xfId="0" applyNumberFormat="1" applyFont="1" applyFill="1" applyBorder="1"/>
    <xf numFmtId="2" fontId="17" fillId="6" borderId="20" xfId="0" applyNumberFormat="1" applyFont="1" applyFill="1" applyBorder="1"/>
    <xf numFmtId="2" fontId="17" fillId="6" borderId="21" xfId="0" applyNumberFormat="1" applyFont="1" applyFill="1" applyBorder="1"/>
    <xf numFmtId="0" fontId="18" fillId="0" borderId="0" xfId="0" applyFont="1" applyAlignment="1">
      <alignment horizontal="center"/>
    </xf>
    <xf numFmtId="164" fontId="20" fillId="0" borderId="0" xfId="0" applyNumberFormat="1" applyFont="1"/>
    <xf numFmtId="0" fontId="0" fillId="0" borderId="0" xfId="0" applyAlignment="1">
      <alignment horizontal="center"/>
    </xf>
    <xf numFmtId="164" fontId="0" fillId="0" borderId="0" xfId="0" applyNumberFormat="1" applyAlignment="1">
      <alignment horizontal="center"/>
    </xf>
    <xf numFmtId="0" fontId="17" fillId="6" borderId="24" xfId="2" applyFill="1" applyBorder="1"/>
    <xf numFmtId="0" fontId="17" fillId="6" borderId="31" xfId="2" applyFill="1" applyBorder="1"/>
    <xf numFmtId="0" fontId="17" fillId="6" borderId="42" xfId="2" applyFill="1" applyBorder="1"/>
    <xf numFmtId="0" fontId="17" fillId="6" borderId="26" xfId="2" applyFill="1" applyBorder="1"/>
    <xf numFmtId="0" fontId="17" fillId="6" borderId="35" xfId="2" applyFill="1" applyBorder="1"/>
    <xf numFmtId="0" fontId="17" fillId="8" borderId="34" xfId="2" applyFill="1" applyBorder="1"/>
    <xf numFmtId="0" fontId="17" fillId="8" borderId="43" xfId="2" applyFill="1" applyBorder="1"/>
    <xf numFmtId="2" fontId="20" fillId="8" borderId="22" xfId="2" applyNumberFormat="1" applyFont="1" applyFill="1" applyBorder="1"/>
    <xf numFmtId="2" fontId="20" fillId="8" borderId="23" xfId="2" applyNumberFormat="1" applyFont="1" applyFill="1" applyBorder="1"/>
    <xf numFmtId="0" fontId="17" fillId="8" borderId="40" xfId="2" applyFill="1" applyBorder="1"/>
    <xf numFmtId="2" fontId="21" fillId="8" borderId="40" xfId="2" applyNumberFormat="1" applyFont="1" applyFill="1" applyBorder="1"/>
    <xf numFmtId="2" fontId="17" fillId="9" borderId="41" xfId="2" applyNumberFormat="1" applyFill="1" applyBorder="1"/>
    <xf numFmtId="2" fontId="17" fillId="8" borderId="40" xfId="2" applyNumberFormat="1" applyFill="1" applyBorder="1"/>
    <xf numFmtId="2" fontId="17" fillId="8" borderId="41" xfId="2" applyNumberFormat="1" applyFill="1" applyBorder="1"/>
    <xf numFmtId="0" fontId="17" fillId="8" borderId="24" xfId="2" applyFill="1" applyBorder="1"/>
    <xf numFmtId="2" fontId="17" fillId="8" borderId="24" xfId="2" applyNumberFormat="1" applyFill="1" applyBorder="1"/>
    <xf numFmtId="2" fontId="17" fillId="8" borderId="25" xfId="2" applyNumberFormat="1" applyFill="1" applyBorder="1"/>
    <xf numFmtId="0" fontId="17" fillId="8" borderId="44" xfId="2" applyFill="1" applyBorder="1"/>
    <xf numFmtId="2" fontId="17" fillId="8" borderId="44" xfId="2" applyNumberFormat="1" applyFill="1" applyBorder="1"/>
    <xf numFmtId="2" fontId="17" fillId="8" borderId="47" xfId="2" applyNumberFormat="1" applyFill="1" applyBorder="1"/>
    <xf numFmtId="2" fontId="17" fillId="10" borderId="22" xfId="2" applyNumberFormat="1" applyFill="1" applyBorder="1"/>
    <xf numFmtId="2" fontId="17" fillId="10" borderId="23" xfId="2" applyNumberFormat="1" applyFill="1" applyBorder="1"/>
    <xf numFmtId="0" fontId="17" fillId="10" borderId="40" xfId="2" applyFill="1" applyBorder="1"/>
    <xf numFmtId="164" fontId="17" fillId="10" borderId="39" xfId="2" applyNumberFormat="1" applyFill="1" applyBorder="1" applyAlignment="1">
      <alignment horizontal="center"/>
    </xf>
    <xf numFmtId="2" fontId="17" fillId="10" borderId="40" xfId="2" applyNumberFormat="1" applyFill="1" applyBorder="1"/>
    <xf numFmtId="2" fontId="17" fillId="10" borderId="41" xfId="2" applyNumberFormat="1" applyFill="1" applyBorder="1"/>
    <xf numFmtId="0" fontId="17" fillId="10" borderId="24" xfId="2" applyFill="1" applyBorder="1"/>
    <xf numFmtId="2" fontId="17" fillId="10" borderId="25" xfId="2" applyNumberFormat="1" applyFill="1" applyBorder="1"/>
    <xf numFmtId="2" fontId="17" fillId="10" borderId="24" xfId="2" applyNumberFormat="1" applyFill="1" applyBorder="1"/>
    <xf numFmtId="2" fontId="17" fillId="11" borderId="22" xfId="2" applyNumberFormat="1" applyFill="1" applyBorder="1"/>
    <xf numFmtId="2" fontId="17" fillId="11" borderId="23" xfId="2" applyNumberFormat="1" applyFill="1" applyBorder="1"/>
    <xf numFmtId="0" fontId="17" fillId="11" borderId="40" xfId="2" applyFill="1" applyBorder="1"/>
    <xf numFmtId="2" fontId="17" fillId="11" borderId="40" xfId="2" applyNumberFormat="1" applyFill="1" applyBorder="1"/>
    <xf numFmtId="2" fontId="17" fillId="11" borderId="41" xfId="2" applyNumberFormat="1" applyFill="1" applyBorder="1"/>
    <xf numFmtId="0" fontId="17" fillId="11" borderId="24" xfId="2" applyFill="1" applyBorder="1"/>
    <xf numFmtId="2" fontId="17" fillId="11" borderId="24" xfId="2" applyNumberFormat="1" applyFill="1" applyBorder="1"/>
    <xf numFmtId="2" fontId="17" fillId="11" borderId="25" xfId="2" applyNumberFormat="1" applyFill="1" applyBorder="1"/>
    <xf numFmtId="2" fontId="17" fillId="12" borderId="24" xfId="2" applyNumberFormat="1" applyFill="1" applyBorder="1"/>
    <xf numFmtId="0" fontId="17" fillId="12" borderId="24" xfId="2" applyFill="1" applyBorder="1"/>
    <xf numFmtId="0" fontId="17" fillId="6" borderId="20" xfId="2" applyFill="1" applyBorder="1"/>
    <xf numFmtId="0" fontId="17" fillId="6" borderId="49" xfId="2" applyFill="1" applyBorder="1"/>
    <xf numFmtId="0" fontId="17" fillId="6" borderId="28" xfId="2" applyFill="1" applyBorder="1"/>
    <xf numFmtId="0" fontId="17" fillId="13" borderId="38" xfId="2" applyFill="1" applyBorder="1" applyAlignment="1">
      <alignment horizontal="center"/>
    </xf>
    <xf numFmtId="0" fontId="17" fillId="13" borderId="31" xfId="2" applyFill="1" applyBorder="1"/>
    <xf numFmtId="0" fontId="17" fillId="13" borderId="42" xfId="2" applyFill="1" applyBorder="1" applyAlignment="1">
      <alignment horizontal="center"/>
    </xf>
    <xf numFmtId="2" fontId="17" fillId="13" borderId="41" xfId="2" applyNumberFormat="1" applyFill="1" applyBorder="1"/>
    <xf numFmtId="0" fontId="17" fillId="0" borderId="0" xfId="2" applyAlignment="1">
      <alignment horizontal="center"/>
    </xf>
    <xf numFmtId="164" fontId="17" fillId="0" borderId="0" xfId="2" applyNumberFormat="1" applyAlignment="1">
      <alignment horizontal="center"/>
    </xf>
    <xf numFmtId="0" fontId="36" fillId="0" borderId="0" xfId="3"/>
    <xf numFmtId="0" fontId="16" fillId="6" borderId="22" xfId="3" applyFont="1" applyFill="1" applyBorder="1"/>
    <xf numFmtId="0" fontId="17" fillId="6" borderId="24" xfId="3" applyFont="1" applyFill="1" applyBorder="1"/>
    <xf numFmtId="0" fontId="17" fillId="6" borderId="31" xfId="3" applyFont="1" applyFill="1" applyBorder="1"/>
    <xf numFmtId="0" fontId="17" fillId="6" borderId="42" xfId="3" applyFont="1" applyFill="1" applyBorder="1"/>
    <xf numFmtId="0" fontId="17" fillId="6" borderId="35" xfId="3" applyFont="1" applyFill="1" applyBorder="1"/>
    <xf numFmtId="0" fontId="17" fillId="8" borderId="34" xfId="3" applyFont="1" applyFill="1" applyBorder="1"/>
    <xf numFmtId="0" fontId="17" fillId="8" borderId="43" xfId="3" applyFont="1" applyFill="1" applyBorder="1"/>
    <xf numFmtId="2" fontId="20" fillId="8" borderId="22" xfId="3" applyNumberFormat="1" applyFont="1" applyFill="1" applyBorder="1"/>
    <xf numFmtId="2" fontId="20" fillId="8" borderId="23" xfId="3" applyNumberFormat="1" applyFont="1" applyFill="1" applyBorder="1"/>
    <xf numFmtId="2" fontId="36" fillId="8" borderId="22" xfId="3" applyNumberFormat="1" applyFill="1" applyBorder="1"/>
    <xf numFmtId="0" fontId="36" fillId="8" borderId="23" xfId="3" applyFill="1" applyBorder="1"/>
    <xf numFmtId="0" fontId="17" fillId="6" borderId="20" xfId="3" applyFont="1" applyFill="1" applyBorder="1"/>
    <xf numFmtId="0" fontId="36" fillId="13" borderId="38" xfId="3" applyFill="1" applyBorder="1" applyAlignment="1">
      <alignment horizontal="left"/>
    </xf>
    <xf numFmtId="0" fontId="36" fillId="13" borderId="31" xfId="3" applyFill="1" applyBorder="1" applyAlignment="1">
      <alignment horizontal="left"/>
    </xf>
    <xf numFmtId="0" fontId="36" fillId="13" borderId="45" xfId="3" applyFill="1" applyBorder="1" applyAlignment="1">
      <alignment horizontal="left"/>
    </xf>
    <xf numFmtId="0" fontId="36" fillId="13" borderId="20" xfId="3" applyFill="1" applyBorder="1" applyAlignment="1">
      <alignment horizontal="left"/>
    </xf>
    <xf numFmtId="0" fontId="16" fillId="13" borderId="50" xfId="3" applyFont="1" applyFill="1" applyBorder="1"/>
    <xf numFmtId="0" fontId="16" fillId="13" borderId="20" xfId="3" applyFont="1" applyFill="1" applyBorder="1" applyAlignment="1">
      <alignment horizontal="left"/>
    </xf>
    <xf numFmtId="0" fontId="36" fillId="0" borderId="22" xfId="3" applyBorder="1"/>
    <xf numFmtId="0" fontId="36" fillId="0" borderId="24" xfId="3" applyBorder="1"/>
    <xf numFmtId="0" fontId="36" fillId="0" borderId="26" xfId="3" applyBorder="1"/>
    <xf numFmtId="0" fontId="16" fillId="6" borderId="38" xfId="3" applyFont="1" applyFill="1" applyBorder="1" applyAlignment="1">
      <alignment horizontal="center"/>
    </xf>
    <xf numFmtId="0" fontId="16" fillId="6" borderId="39" xfId="3" applyFont="1" applyFill="1" applyBorder="1" applyAlignment="1">
      <alignment horizontal="center"/>
    </xf>
    <xf numFmtId="2" fontId="19" fillId="6" borderId="26" xfId="3" applyNumberFormat="1" applyFont="1" applyFill="1" applyBorder="1"/>
    <xf numFmtId="0" fontId="17" fillId="13" borderId="38" xfId="3" applyFont="1" applyFill="1" applyBorder="1" applyAlignment="1">
      <alignment horizontal="left"/>
    </xf>
    <xf numFmtId="0" fontId="15" fillId="0" borderId="0" xfId="3" applyFont="1"/>
    <xf numFmtId="2" fontId="19" fillId="7" borderId="0" xfId="3" applyNumberFormat="1" applyFont="1" applyFill="1"/>
    <xf numFmtId="0" fontId="36" fillId="0" borderId="0" xfId="3" applyAlignment="1">
      <alignment wrapText="1"/>
    </xf>
    <xf numFmtId="0" fontId="18" fillId="6" borderId="24" xfId="3" applyFont="1" applyFill="1" applyBorder="1" applyAlignment="1">
      <alignment horizontal="center"/>
    </xf>
    <xf numFmtId="0" fontId="18" fillId="6" borderId="25" xfId="3" applyFont="1" applyFill="1" applyBorder="1" applyAlignment="1">
      <alignment horizontal="center"/>
    </xf>
    <xf numFmtId="0" fontId="36" fillId="0" borderId="12" xfId="3" applyBorder="1" applyAlignment="1">
      <alignment horizontal="center"/>
    </xf>
    <xf numFmtId="164" fontId="0" fillId="10" borderId="39" xfId="0" applyNumberFormat="1" applyFill="1" applyBorder="1" applyAlignment="1">
      <alignment horizontal="center"/>
    </xf>
    <xf numFmtId="0" fontId="22" fillId="9" borderId="38" xfId="0" applyFont="1" applyFill="1" applyBorder="1" applyAlignment="1">
      <alignment horizontal="center"/>
    </xf>
    <xf numFmtId="0" fontId="17" fillId="40" borderId="20" xfId="0" applyFont="1" applyFill="1" applyBorder="1" applyAlignment="1">
      <alignment horizontal="center"/>
    </xf>
    <xf numFmtId="0" fontId="17" fillId="40" borderId="21" xfId="0" applyFont="1" applyFill="1" applyBorder="1" applyAlignment="1">
      <alignment horizontal="center"/>
    </xf>
    <xf numFmtId="0" fontId="17" fillId="39" borderId="20" xfId="0" applyFont="1" applyFill="1" applyBorder="1" applyAlignment="1">
      <alignment horizontal="center"/>
    </xf>
    <xf numFmtId="0" fontId="17" fillId="39" borderId="21" xfId="0" applyFont="1" applyFill="1" applyBorder="1" applyAlignment="1">
      <alignment horizontal="center"/>
    </xf>
    <xf numFmtId="164" fontId="20" fillId="40" borderId="38" xfId="0" applyNumberFormat="1" applyFont="1" applyFill="1" applyBorder="1"/>
    <xf numFmtId="164" fontId="20" fillId="40" borderId="41" xfId="0" applyNumberFormat="1" applyFont="1" applyFill="1" applyBorder="1"/>
    <xf numFmtId="164" fontId="20" fillId="39" borderId="38" xfId="0" applyNumberFormat="1" applyFont="1" applyFill="1" applyBorder="1"/>
    <xf numFmtId="164" fontId="20" fillId="39" borderId="41" xfId="0" applyNumberFormat="1" applyFont="1" applyFill="1" applyBorder="1"/>
    <xf numFmtId="164" fontId="20" fillId="40" borderId="31" xfId="0" applyNumberFormat="1" applyFont="1" applyFill="1" applyBorder="1"/>
    <xf numFmtId="164" fontId="20" fillId="40" borderId="25" xfId="0" applyNumberFormat="1" applyFont="1" applyFill="1" applyBorder="1"/>
    <xf numFmtId="164" fontId="20" fillId="39" borderId="31" xfId="0" applyNumberFormat="1" applyFont="1" applyFill="1" applyBorder="1"/>
    <xf numFmtId="164" fontId="20" fillId="39" borderId="25" xfId="0" applyNumberFormat="1" applyFont="1" applyFill="1" applyBorder="1"/>
    <xf numFmtId="164" fontId="20" fillId="40" borderId="35" xfId="0" applyNumberFormat="1" applyFont="1" applyFill="1" applyBorder="1"/>
    <xf numFmtId="164" fontId="20" fillId="40" borderId="27" xfId="0" applyNumberFormat="1" applyFont="1" applyFill="1" applyBorder="1"/>
    <xf numFmtId="164" fontId="20" fillId="39" borderId="35" xfId="0" applyNumberFormat="1" applyFont="1" applyFill="1" applyBorder="1"/>
    <xf numFmtId="164" fontId="20" fillId="39" borderId="27" xfId="0" applyNumberFormat="1" applyFont="1" applyFill="1" applyBorder="1"/>
    <xf numFmtId="0" fontId="36" fillId="8" borderId="38" xfId="3" applyFill="1" applyBorder="1" applyAlignment="1">
      <alignment horizontal="center"/>
    </xf>
    <xf numFmtId="0" fontId="17" fillId="6" borderId="49" xfId="3" applyFont="1" applyFill="1" applyBorder="1"/>
    <xf numFmtId="0" fontId="17" fillId="13" borderId="38" xfId="3" applyFont="1" applyFill="1" applyBorder="1" applyAlignment="1">
      <alignment horizontal="center"/>
    </xf>
    <xf numFmtId="0" fontId="17" fillId="13" borderId="31" xfId="3" applyFont="1" applyFill="1" applyBorder="1"/>
    <xf numFmtId="0" fontId="36" fillId="13" borderId="45" xfId="3" applyFill="1" applyBorder="1" applyAlignment="1">
      <alignment horizontal="center"/>
    </xf>
    <xf numFmtId="0" fontId="36" fillId="13" borderId="49" xfId="3" applyFill="1" applyBorder="1"/>
    <xf numFmtId="0" fontId="36" fillId="13" borderId="38" xfId="3" applyFill="1" applyBorder="1"/>
    <xf numFmtId="0" fontId="16" fillId="13" borderId="51" xfId="3" applyFont="1" applyFill="1" applyBorder="1"/>
    <xf numFmtId="0" fontId="16" fillId="13" borderId="49" xfId="3" applyFont="1" applyFill="1" applyBorder="1"/>
    <xf numFmtId="0" fontId="17" fillId="13" borderId="45" xfId="3" applyFont="1" applyFill="1" applyBorder="1" applyAlignment="1">
      <alignment horizontal="center"/>
    </xf>
    <xf numFmtId="164" fontId="36" fillId="0" borderId="0" xfId="3" applyNumberFormat="1" applyAlignment="1">
      <alignment horizontal="center"/>
    </xf>
    <xf numFmtId="0" fontId="18" fillId="0" borderId="0" xfId="3" applyFont="1" applyAlignment="1">
      <alignment horizontal="center"/>
    </xf>
    <xf numFmtId="164" fontId="20" fillId="0" borderId="0" xfId="3" applyNumberFormat="1" applyFont="1"/>
    <xf numFmtId="0" fontId="36" fillId="13" borderId="28" xfId="3" applyFill="1" applyBorder="1"/>
    <xf numFmtId="0" fontId="36" fillId="13" borderId="39" xfId="3" applyFill="1" applyBorder="1"/>
    <xf numFmtId="165" fontId="16" fillId="13" borderId="52" xfId="3" applyNumberFormat="1" applyFont="1" applyFill="1" applyBorder="1" applyAlignment="1">
      <alignment horizontal="center"/>
    </xf>
    <xf numFmtId="165" fontId="19" fillId="13" borderId="28" xfId="3" applyNumberFormat="1" applyFont="1" applyFill="1" applyBorder="1" applyAlignment="1">
      <alignment horizontal="center"/>
    </xf>
    <xf numFmtId="165" fontId="26" fillId="13" borderId="28" xfId="3" applyNumberFormat="1" applyFont="1" applyFill="1" applyBorder="1" applyAlignment="1">
      <alignment horizontal="center"/>
    </xf>
    <xf numFmtId="2" fontId="36" fillId="13" borderId="46" xfId="3" applyNumberFormat="1" applyFill="1" applyBorder="1" applyAlignment="1">
      <alignment horizontal="right"/>
    </xf>
    <xf numFmtId="0" fontId="17" fillId="10" borderId="40" xfId="0" applyFont="1" applyFill="1" applyBorder="1" applyAlignment="1">
      <alignment horizontal="left"/>
    </xf>
    <xf numFmtId="0" fontId="17" fillId="0" borderId="0" xfId="3" applyFont="1"/>
    <xf numFmtId="0" fontId="16" fillId="6" borderId="24" xfId="3" applyFont="1" applyFill="1" applyBorder="1" applyAlignment="1">
      <alignment horizontal="center"/>
    </xf>
    <xf numFmtId="0" fontId="16" fillId="6" borderId="25" xfId="3" applyFont="1" applyFill="1" applyBorder="1" applyAlignment="1">
      <alignment horizontal="center"/>
    </xf>
    <xf numFmtId="0" fontId="17" fillId="6" borderId="26" xfId="3" applyFont="1" applyFill="1" applyBorder="1"/>
    <xf numFmtId="2" fontId="19" fillId="6" borderId="27" xfId="3" applyNumberFormat="1" applyFont="1" applyFill="1" applyBorder="1"/>
    <xf numFmtId="0" fontId="16" fillId="8" borderId="22" xfId="3" applyFont="1" applyFill="1" applyBorder="1"/>
    <xf numFmtId="0" fontId="17" fillId="8" borderId="40" xfId="3" applyFont="1" applyFill="1" applyBorder="1"/>
    <xf numFmtId="2" fontId="21" fillId="8" borderId="40" xfId="3" applyNumberFormat="1" applyFont="1" applyFill="1" applyBorder="1"/>
    <xf numFmtId="2" fontId="36" fillId="9" borderId="0" xfId="3" applyNumberFormat="1" applyFill="1"/>
    <xf numFmtId="2" fontId="17" fillId="9" borderId="41" xfId="3" applyNumberFormat="1" applyFont="1" applyFill="1" applyBorder="1"/>
    <xf numFmtId="2" fontId="17" fillId="8" borderId="40" xfId="3" applyNumberFormat="1" applyFont="1" applyFill="1" applyBorder="1"/>
    <xf numFmtId="2" fontId="17" fillId="8" borderId="41" xfId="3" applyNumberFormat="1" applyFont="1" applyFill="1" applyBorder="1"/>
    <xf numFmtId="0" fontId="17" fillId="8" borderId="24" xfId="3" applyFont="1" applyFill="1" applyBorder="1"/>
    <xf numFmtId="0" fontId="22" fillId="8" borderId="31" xfId="3" applyFont="1" applyFill="1" applyBorder="1" applyAlignment="1">
      <alignment horizontal="center"/>
    </xf>
    <xf numFmtId="164" fontId="20" fillId="8" borderId="42" xfId="3" applyNumberFormat="1" applyFont="1" applyFill="1" applyBorder="1" applyAlignment="1">
      <alignment horizontal="center"/>
    </xf>
    <xf numFmtId="2" fontId="17" fillId="8" borderId="24" xfId="3" applyNumberFormat="1" applyFont="1" applyFill="1" applyBorder="1"/>
    <xf numFmtId="2" fontId="17" fillId="8" borderId="25" xfId="3" applyNumberFormat="1" applyFont="1" applyFill="1" applyBorder="1"/>
    <xf numFmtId="0" fontId="17" fillId="8" borderId="44" xfId="3" applyFont="1" applyFill="1" applyBorder="1"/>
    <xf numFmtId="0" fontId="22" fillId="9" borderId="38" xfId="3" applyFont="1" applyFill="1" applyBorder="1" applyAlignment="1">
      <alignment horizontal="center"/>
    </xf>
    <xf numFmtId="164" fontId="20" fillId="8" borderId="46" xfId="3" applyNumberFormat="1" applyFont="1" applyFill="1" applyBorder="1" applyAlignment="1">
      <alignment horizontal="center"/>
    </xf>
    <xf numFmtId="0" fontId="22" fillId="8" borderId="45" xfId="3" applyFont="1" applyFill="1" applyBorder="1" applyAlignment="1">
      <alignment horizontal="center"/>
    </xf>
    <xf numFmtId="2" fontId="17" fillId="8" borderId="44" xfId="3" applyNumberFormat="1" applyFont="1" applyFill="1" applyBorder="1"/>
    <xf numFmtId="2" fontId="17" fillId="8" borderId="47" xfId="3" applyNumberFormat="1" applyFont="1" applyFill="1" applyBorder="1"/>
    <xf numFmtId="0" fontId="16" fillId="10" borderId="22" xfId="3" applyFont="1" applyFill="1" applyBorder="1" applyAlignment="1">
      <alignment horizontal="left"/>
    </xf>
    <xf numFmtId="0" fontId="22" fillId="10" borderId="34" xfId="3" applyFont="1" applyFill="1" applyBorder="1" applyAlignment="1">
      <alignment horizontal="center"/>
    </xf>
    <xf numFmtId="164" fontId="36" fillId="10" borderId="43" xfId="3" applyNumberFormat="1" applyFill="1" applyBorder="1" applyAlignment="1">
      <alignment horizontal="center"/>
    </xf>
    <xf numFmtId="2" fontId="17" fillId="10" borderId="22" xfId="3" applyNumberFormat="1" applyFont="1" applyFill="1" applyBorder="1"/>
    <xf numFmtId="2" fontId="17" fillId="10" borderId="23" xfId="3" applyNumberFormat="1" applyFont="1" applyFill="1" applyBorder="1"/>
    <xf numFmtId="0" fontId="17" fillId="10" borderId="40" xfId="3" applyFont="1" applyFill="1" applyBorder="1" applyAlignment="1">
      <alignment horizontal="left"/>
    </xf>
    <xf numFmtId="0" fontId="22" fillId="10" borderId="38" xfId="3" applyFont="1" applyFill="1" applyBorder="1" applyAlignment="1">
      <alignment horizontal="center"/>
    </xf>
    <xf numFmtId="164" fontId="36" fillId="10" borderId="39" xfId="3" applyNumberFormat="1" applyFill="1" applyBorder="1" applyAlignment="1">
      <alignment horizontal="center"/>
    </xf>
    <xf numFmtId="2" fontId="17" fillId="10" borderId="40" xfId="3" applyNumberFormat="1" applyFont="1" applyFill="1" applyBorder="1"/>
    <xf numFmtId="2" fontId="17" fillId="10" borderId="41" xfId="3" applyNumberFormat="1" applyFont="1" applyFill="1" applyBorder="1"/>
    <xf numFmtId="0" fontId="17" fillId="10" borderId="40" xfId="3" applyFont="1" applyFill="1" applyBorder="1"/>
    <xf numFmtId="164" fontId="17" fillId="10" borderId="39" xfId="3" applyNumberFormat="1" applyFont="1" applyFill="1" applyBorder="1" applyAlignment="1">
      <alignment horizontal="center"/>
    </xf>
    <xf numFmtId="0" fontId="17" fillId="10" borderId="24" xfId="3" applyFont="1" applyFill="1" applyBorder="1"/>
    <xf numFmtId="164" fontId="20" fillId="10" borderId="42" xfId="3" applyNumberFormat="1" applyFont="1" applyFill="1" applyBorder="1" applyAlignment="1">
      <alignment horizontal="center"/>
    </xf>
    <xf numFmtId="2" fontId="21" fillId="10" borderId="24" xfId="3" applyNumberFormat="1" applyFont="1" applyFill="1" applyBorder="1"/>
    <xf numFmtId="2" fontId="17" fillId="10" borderId="25" xfId="3" applyNumberFormat="1" applyFont="1" applyFill="1" applyBorder="1"/>
    <xf numFmtId="0" fontId="22" fillId="10" borderId="31" xfId="3" applyFont="1" applyFill="1" applyBorder="1" applyAlignment="1">
      <alignment horizontal="center"/>
    </xf>
    <xf numFmtId="2" fontId="17" fillId="10" borderId="24" xfId="3" applyNumberFormat="1" applyFont="1" applyFill="1" applyBorder="1"/>
    <xf numFmtId="0" fontId="16" fillId="11" borderId="22" xfId="3" applyFont="1" applyFill="1" applyBorder="1" applyAlignment="1">
      <alignment horizontal="left"/>
    </xf>
    <xf numFmtId="0" fontId="22" fillId="11" borderId="34" xfId="3" applyFont="1" applyFill="1" applyBorder="1" applyAlignment="1">
      <alignment horizontal="center"/>
    </xf>
    <xf numFmtId="164" fontId="20" fillId="11" borderId="43" xfId="3" applyNumberFormat="1" applyFont="1" applyFill="1" applyBorder="1" applyAlignment="1">
      <alignment horizontal="center"/>
    </xf>
    <xf numFmtId="2" fontId="17" fillId="11" borderId="22" xfId="3" applyNumberFormat="1" applyFont="1" applyFill="1" applyBorder="1"/>
    <xf numFmtId="2" fontId="17" fillId="11" borderId="23" xfId="3" applyNumberFormat="1" applyFont="1" applyFill="1" applyBorder="1"/>
    <xf numFmtId="0" fontId="36" fillId="11" borderId="22" xfId="3" applyFill="1" applyBorder="1"/>
    <xf numFmtId="0" fontId="36" fillId="11" borderId="23" xfId="3" applyFill="1" applyBorder="1"/>
    <xf numFmtId="0" fontId="19" fillId="0" borderId="0" xfId="3" applyFont="1"/>
    <xf numFmtId="0" fontId="17" fillId="11" borderId="40" xfId="3" applyFont="1" applyFill="1" applyBorder="1"/>
    <xf numFmtId="0" fontId="22" fillId="11" borderId="38" xfId="3" applyFont="1" applyFill="1" applyBorder="1" applyAlignment="1">
      <alignment horizontal="center"/>
    </xf>
    <xf numFmtId="164" fontId="36" fillId="11" borderId="39" xfId="3" applyNumberFormat="1" applyFill="1" applyBorder="1" applyAlignment="1">
      <alignment horizontal="center"/>
    </xf>
    <xf numFmtId="2" fontId="17" fillId="11" borderId="40" xfId="3" applyNumberFormat="1" applyFont="1" applyFill="1" applyBorder="1"/>
    <xf numFmtId="2" fontId="17" fillId="11" borderId="41" xfId="3" applyNumberFormat="1" applyFont="1" applyFill="1" applyBorder="1"/>
    <xf numFmtId="0" fontId="17" fillId="11" borderId="24" xfId="3" applyFont="1" applyFill="1" applyBorder="1"/>
    <xf numFmtId="0" fontId="22" fillId="11" borderId="31" xfId="3" applyFont="1" applyFill="1" applyBorder="1" applyAlignment="1">
      <alignment horizontal="center"/>
    </xf>
    <xf numFmtId="164" fontId="20" fillId="11" borderId="42" xfId="3" applyNumberFormat="1" applyFont="1" applyFill="1" applyBorder="1" applyAlignment="1">
      <alignment horizontal="center"/>
    </xf>
    <xf numFmtId="2" fontId="17" fillId="11" borderId="24" xfId="3" applyNumberFormat="1" applyFont="1" applyFill="1" applyBorder="1"/>
    <xf numFmtId="2" fontId="17" fillId="11" borderId="25" xfId="3" applyNumberFormat="1" applyFont="1" applyFill="1" applyBorder="1"/>
    <xf numFmtId="1" fontId="22" fillId="11" borderId="31" xfId="3" applyNumberFormat="1" applyFont="1" applyFill="1" applyBorder="1" applyAlignment="1">
      <alignment horizontal="center"/>
    </xf>
    <xf numFmtId="0" fontId="36" fillId="12" borderId="48" xfId="3" applyFill="1" applyBorder="1"/>
    <xf numFmtId="164" fontId="20" fillId="12" borderId="42" xfId="3" applyNumberFormat="1" applyFont="1" applyFill="1" applyBorder="1" applyAlignment="1">
      <alignment horizontal="center"/>
    </xf>
    <xf numFmtId="2" fontId="17" fillId="12" borderId="24" xfId="3" applyNumberFormat="1" applyFont="1" applyFill="1" applyBorder="1"/>
    <xf numFmtId="0" fontId="17" fillId="12" borderId="24" xfId="3" applyFont="1" applyFill="1" applyBorder="1"/>
    <xf numFmtId="0" fontId="20" fillId="11" borderId="42" xfId="3" applyFont="1" applyFill="1" applyBorder="1" applyAlignment="1">
      <alignment horizontal="center"/>
    </xf>
    <xf numFmtId="0" fontId="36" fillId="12" borderId="48" xfId="3" applyFill="1" applyBorder="1" applyAlignment="1">
      <alignment horizontal="left" vertical="top"/>
    </xf>
    <xf numFmtId="0" fontId="22" fillId="12" borderId="31" xfId="3" applyFont="1" applyFill="1" applyBorder="1" applyAlignment="1">
      <alignment horizontal="center"/>
    </xf>
    <xf numFmtId="0" fontId="17" fillId="6" borderId="28" xfId="3" applyFont="1" applyFill="1" applyBorder="1"/>
    <xf numFmtId="2" fontId="17" fillId="6" borderId="20" xfId="3" applyNumberFormat="1" applyFont="1" applyFill="1" applyBorder="1"/>
    <xf numFmtId="2" fontId="17" fillId="6" borderId="21" xfId="3" applyNumberFormat="1" applyFont="1" applyFill="1" applyBorder="1"/>
    <xf numFmtId="2" fontId="36" fillId="6" borderId="20" xfId="3" applyNumberFormat="1" applyFill="1" applyBorder="1"/>
    <xf numFmtId="2" fontId="36" fillId="6" borderId="21" xfId="3" applyNumberFormat="1" applyFill="1" applyBorder="1"/>
    <xf numFmtId="165" fontId="23" fillId="13" borderId="39" xfId="3" applyNumberFormat="1" applyFont="1" applyFill="1" applyBorder="1" applyAlignment="1">
      <alignment horizontal="center"/>
    </xf>
    <xf numFmtId="0" fontId="17" fillId="13" borderId="42" xfId="3" applyFont="1" applyFill="1" applyBorder="1" applyAlignment="1">
      <alignment horizontal="center"/>
    </xf>
    <xf numFmtId="2" fontId="17" fillId="13" borderId="40" xfId="3" applyNumberFormat="1" applyFont="1" applyFill="1" applyBorder="1"/>
    <xf numFmtId="2" fontId="17" fillId="13" borderId="41" xfId="3" applyNumberFormat="1" applyFont="1" applyFill="1" applyBorder="1"/>
    <xf numFmtId="164" fontId="36" fillId="13" borderId="46" xfId="3" applyNumberFormat="1" applyFill="1" applyBorder="1" applyAlignment="1">
      <alignment horizontal="center"/>
    </xf>
    <xf numFmtId="2" fontId="36" fillId="13" borderId="44" xfId="3" applyNumberFormat="1" applyFill="1" applyBorder="1"/>
    <xf numFmtId="2" fontId="36" fillId="13" borderId="47" xfId="3" applyNumberFormat="1" applyFill="1" applyBorder="1"/>
    <xf numFmtId="2" fontId="36" fillId="13" borderId="20" xfId="3" applyNumberFormat="1" applyFill="1" applyBorder="1"/>
    <xf numFmtId="2" fontId="36" fillId="13" borderId="21" xfId="3" applyNumberFormat="1" applyFill="1" applyBorder="1"/>
    <xf numFmtId="2" fontId="36" fillId="13" borderId="40" xfId="3" applyNumberFormat="1" applyFill="1" applyBorder="1"/>
    <xf numFmtId="2" fontId="36" fillId="13" borderId="44" xfId="3" applyNumberFormat="1" applyFill="1" applyBorder="1" applyAlignment="1">
      <alignment horizontal="right"/>
    </xf>
    <xf numFmtId="2" fontId="36" fillId="13" borderId="47" xfId="3" applyNumberFormat="1" applyFill="1" applyBorder="1" applyAlignment="1">
      <alignment horizontal="right"/>
    </xf>
    <xf numFmtId="165" fontId="36" fillId="13" borderId="44" xfId="3" applyNumberFormat="1" applyFill="1" applyBorder="1" applyAlignment="1">
      <alignment horizontal="right"/>
    </xf>
    <xf numFmtId="0" fontId="36" fillId="0" borderId="20" xfId="3" applyBorder="1" applyAlignment="1">
      <alignment horizontal="center"/>
    </xf>
    <xf numFmtId="0" fontId="36" fillId="0" borderId="21" xfId="3" applyBorder="1" applyAlignment="1">
      <alignment horizontal="center"/>
    </xf>
    <xf numFmtId="164" fontId="20" fillId="0" borderId="38" xfId="3" applyNumberFormat="1" applyFont="1" applyBorder="1"/>
    <xf numFmtId="164" fontId="20" fillId="0" borderId="41" xfId="3" applyNumberFormat="1" applyFont="1" applyBorder="1"/>
    <xf numFmtId="164" fontId="20" fillId="0" borderId="31" xfId="3" applyNumberFormat="1" applyFont="1" applyBorder="1"/>
    <xf numFmtId="164" fontId="20" fillId="0" borderId="25" xfId="3" applyNumberFormat="1" applyFont="1" applyBorder="1"/>
    <xf numFmtId="0" fontId="36" fillId="0" borderId="0" xfId="3" applyAlignment="1">
      <alignment horizontal="center"/>
    </xf>
    <xf numFmtId="164" fontId="20" fillId="0" borderId="35" xfId="3" applyNumberFormat="1" applyFont="1" applyBorder="1"/>
    <xf numFmtId="164" fontId="20" fillId="0" borderId="27" xfId="3" applyNumberFormat="1" applyFont="1" applyBorder="1"/>
    <xf numFmtId="1" fontId="0" fillId="0" borderId="42" xfId="0" applyNumberFormat="1" applyBorder="1" applyAlignment="1">
      <alignment horizontal="center" vertical="center"/>
    </xf>
    <xf numFmtId="0" fontId="0" fillId="0" borderId="54" xfId="0" applyBorder="1"/>
    <xf numFmtId="1" fontId="0" fillId="0" borderId="44" xfId="0" applyNumberFormat="1" applyBorder="1" applyAlignment="1">
      <alignment horizontal="center" vertical="center"/>
    </xf>
    <xf numFmtId="0" fontId="0" fillId="0" borderId="45" xfId="0" applyBorder="1" applyAlignment="1">
      <alignment horizontal="center" vertical="center"/>
    </xf>
    <xf numFmtId="0" fontId="14" fillId="0" borderId="45" xfId="0" applyFont="1" applyBorder="1" applyAlignment="1">
      <alignment horizontal="center" vertical="center" wrapText="1"/>
    </xf>
    <xf numFmtId="1" fontId="14" fillId="0" borderId="45" xfId="0" applyNumberFormat="1" applyFont="1" applyBorder="1" applyAlignment="1">
      <alignment horizontal="center" vertical="center" wrapText="1"/>
    </xf>
    <xf numFmtId="1" fontId="0" fillId="0" borderId="45" xfId="0" applyNumberFormat="1" applyBorder="1" applyAlignment="1">
      <alignment horizontal="center" vertical="center"/>
    </xf>
    <xf numFmtId="1" fontId="0" fillId="0" borderId="46" xfId="0" applyNumberFormat="1" applyBorder="1" applyAlignment="1">
      <alignment horizontal="center" vertical="center"/>
    </xf>
    <xf numFmtId="0" fontId="0" fillId="0" borderId="38" xfId="0" applyBorder="1" applyAlignment="1">
      <alignment horizontal="center" vertical="center"/>
    </xf>
    <xf numFmtId="0" fontId="0" fillId="0" borderId="24"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1" fontId="0" fillId="0" borderId="40" xfId="0" applyNumberFormat="1" applyBorder="1" applyAlignment="1">
      <alignment horizontal="center" vertical="center"/>
    </xf>
    <xf numFmtId="1" fontId="0" fillId="0" borderId="38" xfId="0" applyNumberFormat="1" applyBorder="1" applyAlignment="1">
      <alignment horizontal="center" vertical="center"/>
    </xf>
    <xf numFmtId="0" fontId="0" fillId="0" borderId="34" xfId="0" applyBorder="1" applyAlignment="1">
      <alignment horizontal="center" vertical="center"/>
    </xf>
    <xf numFmtId="0" fontId="0" fillId="0" borderId="23" xfId="0" applyBorder="1" applyAlignment="1">
      <alignment horizontal="center" vertical="center"/>
    </xf>
    <xf numFmtId="0" fontId="5" fillId="3" borderId="4" xfId="0" applyFont="1" applyFill="1" applyBorder="1" applyAlignment="1" applyProtection="1">
      <alignment horizontal="center" vertical="center"/>
      <protection locked="0"/>
    </xf>
    <xf numFmtId="0" fontId="5" fillId="3" borderId="5" xfId="0" applyFont="1" applyFill="1" applyBorder="1" applyAlignment="1" applyProtection="1">
      <alignment horizontal="center" vertical="center"/>
      <protection locked="0"/>
    </xf>
    <xf numFmtId="1" fontId="0" fillId="3" borderId="6" xfId="0" applyNumberFormat="1" applyFill="1" applyBorder="1" applyAlignment="1" applyProtection="1">
      <alignment horizontal="center" vertical="center"/>
      <protection locked="0"/>
    </xf>
    <xf numFmtId="0" fontId="0" fillId="3" borderId="15" xfId="0" applyFill="1" applyBorder="1" applyAlignment="1" applyProtection="1">
      <alignment horizontal="center" vertical="center"/>
      <protection locked="0"/>
    </xf>
    <xf numFmtId="0" fontId="0" fillId="0" borderId="0" xfId="0" applyAlignment="1">
      <alignment vertical="center" wrapText="1"/>
    </xf>
    <xf numFmtId="0" fontId="5" fillId="0" borderId="0" xfId="0" applyFont="1" applyAlignment="1">
      <alignment horizontal="left" wrapText="1"/>
    </xf>
    <xf numFmtId="0" fontId="0" fillId="0" borderId="0" xfId="0" applyAlignment="1">
      <alignment vertical="top" wrapText="1"/>
    </xf>
    <xf numFmtId="0" fontId="0" fillId="0" borderId="0" xfId="0" applyAlignment="1">
      <alignment vertical="top"/>
    </xf>
    <xf numFmtId="0" fontId="9" fillId="0" borderId="0" xfId="0" applyFont="1" applyAlignment="1">
      <alignment vertical="center"/>
    </xf>
    <xf numFmtId="0" fontId="1" fillId="0" borderId="1" xfId="0" applyFont="1" applyBorder="1" applyAlignment="1">
      <alignment vertical="center"/>
    </xf>
    <xf numFmtId="0" fontId="1" fillId="0" borderId="20" xfId="0" applyFont="1" applyBorder="1" applyAlignment="1">
      <alignment horizontal="center" vertical="center"/>
    </xf>
    <xf numFmtId="0" fontId="4" fillId="0" borderId="1" xfId="1" applyBorder="1" applyAlignment="1" applyProtection="1">
      <alignment vertical="center" wrapText="1"/>
    </xf>
    <xf numFmtId="0" fontId="4" fillId="0" borderId="0" xfId="1" applyFill="1" applyBorder="1" applyAlignment="1" applyProtection="1">
      <alignment vertical="center"/>
    </xf>
    <xf numFmtId="0" fontId="1" fillId="0" borderId="1" xfId="0" applyFont="1" applyBorder="1" applyAlignment="1">
      <alignment vertical="center" wrapText="1"/>
    </xf>
    <xf numFmtId="0" fontId="10" fillId="0" borderId="0" xfId="0" applyFont="1" applyAlignment="1">
      <alignment vertical="center"/>
    </xf>
    <xf numFmtId="166" fontId="0" fillId="0" borderId="0" xfId="0" applyNumberFormat="1" applyAlignment="1">
      <alignment horizontal="center" vertical="center"/>
    </xf>
    <xf numFmtId="0" fontId="0" fillId="0" borderId="4" xfId="0" applyBorder="1" applyAlignment="1">
      <alignment horizontal="right" vertical="center"/>
    </xf>
    <xf numFmtId="0" fontId="4" fillId="0" borderId="0" xfId="1" applyAlignment="1" applyProtection="1">
      <alignment vertical="center"/>
    </xf>
    <xf numFmtId="0" fontId="0" fillId="0" borderId="8" xfId="0" applyBorder="1" applyAlignment="1">
      <alignment horizontal="right" vertical="center"/>
    </xf>
    <xf numFmtId="0" fontId="0" fillId="0" borderId="5" xfId="0" applyBorder="1" applyAlignment="1">
      <alignment horizontal="right" vertical="center"/>
    </xf>
    <xf numFmtId="0" fontId="0" fillId="0" borderId="0" xfId="0" applyAlignment="1">
      <alignment horizontal="right" vertical="center"/>
    </xf>
    <xf numFmtId="0" fontId="0" fillId="0" borderId="29" xfId="0" applyBorder="1" applyAlignment="1">
      <alignment vertical="center"/>
    </xf>
    <xf numFmtId="0" fontId="4" fillId="0" borderId="10" xfId="1" applyBorder="1" applyAlignment="1" applyProtection="1">
      <alignment horizontal="center" vertical="center" wrapText="1"/>
    </xf>
    <xf numFmtId="0" fontId="1" fillId="0" borderId="10" xfId="0" applyFont="1" applyBorder="1" applyAlignment="1">
      <alignment horizontal="center" vertical="center" wrapText="1"/>
    </xf>
    <xf numFmtId="0" fontId="1" fillId="0" borderId="4" xfId="0" applyFont="1" applyBorder="1" applyAlignment="1">
      <alignment vertical="center" wrapText="1"/>
    </xf>
    <xf numFmtId="0" fontId="0" fillId="0" borderId="16" xfId="0" applyBorder="1" applyAlignment="1">
      <alignment horizontal="center" vertical="center"/>
    </xf>
    <xf numFmtId="0" fontId="1" fillId="0" borderId="5" xfId="0" applyFont="1" applyBorder="1" applyAlignment="1">
      <alignment vertical="center" wrapText="1"/>
    </xf>
    <xf numFmtId="0" fontId="0" fillId="0" borderId="18" xfId="0" applyBorder="1" applyAlignment="1">
      <alignment horizontal="center" vertical="center"/>
    </xf>
    <xf numFmtId="0" fontId="1" fillId="0" borderId="10" xfId="0" applyFont="1" applyBorder="1" applyAlignment="1">
      <alignment vertical="center" wrapText="1"/>
    </xf>
    <xf numFmtId="0" fontId="7" fillId="0" borderId="10" xfId="0" applyFont="1" applyBorder="1" applyAlignment="1">
      <alignment horizontal="center" vertical="center" wrapText="1"/>
    </xf>
    <xf numFmtId="0" fontId="1" fillId="0" borderId="6" xfId="0" applyFont="1" applyBorder="1" applyAlignment="1">
      <alignment horizontal="center" vertical="center" wrapText="1"/>
    </xf>
    <xf numFmtId="0" fontId="4" fillId="0" borderId="6" xfId="1" applyBorder="1" applyAlignment="1" applyProtection="1">
      <alignment horizontal="center" vertical="center" wrapText="1"/>
    </xf>
    <xf numFmtId="1" fontId="0" fillId="0" borderId="4" xfId="0" applyNumberFormat="1" applyBorder="1" applyAlignment="1">
      <alignment horizontal="center" vertical="center"/>
    </xf>
    <xf numFmtId="0" fontId="1" fillId="0" borderId="11" xfId="0" applyFont="1" applyBorder="1" applyAlignment="1">
      <alignment horizontal="center" vertical="center" wrapText="1"/>
    </xf>
    <xf numFmtId="0" fontId="1" fillId="0" borderId="8" xfId="0" applyFont="1" applyBorder="1" applyAlignment="1">
      <alignment vertical="center" wrapText="1"/>
    </xf>
    <xf numFmtId="0" fontId="0" fillId="0" borderId="17" xfId="0" applyBorder="1" applyAlignment="1">
      <alignment horizontal="center" vertical="center"/>
    </xf>
    <xf numFmtId="0" fontId="0" fillId="2" borderId="1" xfId="0" applyFill="1" applyBorder="1" applyAlignment="1">
      <alignment vertical="center"/>
    </xf>
    <xf numFmtId="0" fontId="1" fillId="0" borderId="0" xfId="0" applyFont="1" applyAlignment="1">
      <alignment vertical="center" wrapText="1"/>
    </xf>
    <xf numFmtId="1" fontId="0" fillId="0" borderId="0" xfId="0" applyNumberFormat="1" applyAlignment="1">
      <alignment horizontal="center" vertical="center"/>
    </xf>
    <xf numFmtId="9" fontId="0" fillId="0" borderId="0" xfId="0" applyNumberFormat="1" applyAlignment="1">
      <alignment horizontal="center" vertical="center"/>
    </xf>
    <xf numFmtId="0" fontId="0" fillId="0" borderId="0" xfId="0" applyAlignment="1">
      <alignment horizontal="left" vertical="center"/>
    </xf>
    <xf numFmtId="0" fontId="1" fillId="0" borderId="19" xfId="0" applyFont="1" applyBorder="1" applyAlignment="1">
      <alignment horizontal="center" vertical="center" wrapText="1"/>
    </xf>
    <xf numFmtId="0" fontId="7" fillId="0" borderId="1" xfId="0" applyFont="1" applyBorder="1" applyAlignment="1">
      <alignment horizontal="center" vertical="center" wrapText="1"/>
    </xf>
    <xf numFmtId="0" fontId="1" fillId="0" borderId="1" xfId="0" applyFont="1" applyBorder="1" applyAlignment="1">
      <alignment horizontal="center" vertical="center" wrapText="1"/>
    </xf>
    <xf numFmtId="0" fontId="1" fillId="0" borderId="6" xfId="0" applyFont="1" applyBorder="1" applyAlignment="1">
      <alignment vertical="center" wrapText="1"/>
    </xf>
    <xf numFmtId="0" fontId="0" fillId="0" borderId="68" xfId="0" applyBorder="1" applyAlignment="1">
      <alignment horizontal="center" vertical="center"/>
    </xf>
    <xf numFmtId="0" fontId="0" fillId="2" borderId="10" xfId="0" applyFill="1" applyBorder="1" applyAlignment="1">
      <alignment vertical="center"/>
    </xf>
    <xf numFmtId="0" fontId="0" fillId="2" borderId="5" xfId="0" applyFill="1" applyBorder="1" applyAlignment="1">
      <alignment vertical="center"/>
    </xf>
    <xf numFmtId="1" fontId="0" fillId="0" borderId="18" xfId="0" applyNumberFormat="1" applyBorder="1" applyAlignment="1">
      <alignment horizontal="center" vertical="center"/>
    </xf>
    <xf numFmtId="0" fontId="1" fillId="0" borderId="32" xfId="0" applyFont="1" applyBorder="1" applyAlignment="1">
      <alignment horizontal="center" vertical="center" wrapText="1"/>
    </xf>
    <xf numFmtId="0" fontId="6" fillId="2" borderId="37" xfId="0" applyFont="1" applyFill="1" applyBorder="1" applyAlignment="1">
      <alignment horizontal="center" vertical="center" wrapText="1"/>
    </xf>
    <xf numFmtId="0" fontId="7" fillId="0" borderId="0" xfId="0" applyFont="1" applyAlignment="1">
      <alignment horizontal="right" vertical="center"/>
    </xf>
    <xf numFmtId="0" fontId="5" fillId="0" borderId="1" xfId="0" applyFont="1" applyBorder="1" applyAlignment="1">
      <alignment horizontal="left" vertical="center"/>
    </xf>
    <xf numFmtId="0" fontId="0" fillId="0" borderId="0" xfId="0" applyAlignment="1">
      <alignment horizontal="center" wrapText="1"/>
    </xf>
    <xf numFmtId="0" fontId="0" fillId="0" borderId="0" xfId="0" applyProtection="1">
      <protection locked="0"/>
    </xf>
    <xf numFmtId="0" fontId="0" fillId="41" borderId="31" xfId="0" applyFill="1" applyBorder="1"/>
    <xf numFmtId="0" fontId="0" fillId="42" borderId="31" xfId="0" applyFill="1" applyBorder="1" applyAlignment="1">
      <alignment horizontal="right"/>
    </xf>
    <xf numFmtId="0" fontId="0" fillId="43" borderId="31" xfId="0" applyFill="1" applyBorder="1"/>
    <xf numFmtId="1" fontId="0" fillId="43" borderId="31" xfId="0" applyNumberFormat="1" applyFill="1" applyBorder="1" applyAlignment="1">
      <alignment horizontal="right"/>
    </xf>
    <xf numFmtId="9" fontId="0" fillId="40" borderId="31" xfId="0" applyNumberFormat="1" applyFill="1" applyBorder="1"/>
    <xf numFmtId="9" fontId="0" fillId="40" borderId="31" xfId="0" applyNumberFormat="1" applyFill="1" applyBorder="1" applyAlignment="1">
      <alignment horizontal="right"/>
    </xf>
    <xf numFmtId="0" fontId="0" fillId="40" borderId="31" xfId="0" applyFill="1" applyBorder="1"/>
    <xf numFmtId="0" fontId="0" fillId="40" borderId="31" xfId="0" applyFill="1" applyBorder="1" applyAlignment="1">
      <alignment horizontal="right"/>
    </xf>
    <xf numFmtId="0" fontId="0" fillId="43" borderId="31" xfId="0" applyFill="1" applyBorder="1" applyAlignment="1">
      <alignment wrapText="1"/>
    </xf>
    <xf numFmtId="0" fontId="0" fillId="42" borderId="49" xfId="0" applyFill="1" applyBorder="1" applyAlignment="1">
      <alignment horizontal="right"/>
    </xf>
    <xf numFmtId="0" fontId="0" fillId="42" borderId="14" xfId="0" applyFill="1" applyBorder="1"/>
    <xf numFmtId="0" fontId="0" fillId="5" borderId="0" xfId="0" applyFill="1" applyAlignment="1">
      <alignment horizontal="center"/>
    </xf>
    <xf numFmtId="0" fontId="0" fillId="5" borderId="36" xfId="0" applyFill="1" applyBorder="1" applyAlignment="1">
      <alignment horizontal="center"/>
    </xf>
    <xf numFmtId="0" fontId="0" fillId="5" borderId="6" xfId="0" applyFill="1" applyBorder="1" applyAlignment="1">
      <alignment horizontal="right"/>
    </xf>
    <xf numFmtId="0" fontId="0" fillId="44" borderId="15" xfId="0" applyFill="1" applyBorder="1"/>
    <xf numFmtId="0" fontId="0" fillId="0" borderId="12" xfId="0" applyBorder="1"/>
    <xf numFmtId="0" fontId="0" fillId="0" borderId="33" xfId="0" applyBorder="1"/>
    <xf numFmtId="0" fontId="0" fillId="0" borderId="6" xfId="0" applyBorder="1" applyAlignment="1">
      <alignment horizontal="right"/>
    </xf>
    <xf numFmtId="0" fontId="0" fillId="0" borderId="6" xfId="0" applyBorder="1"/>
    <xf numFmtId="0" fontId="0" fillId="0" borderId="36" xfId="0" applyBorder="1"/>
    <xf numFmtId="3" fontId="0" fillId="0" borderId="36" xfId="45" applyNumberFormat="1" applyFont="1" applyBorder="1"/>
    <xf numFmtId="0" fontId="1" fillId="0" borderId="37" xfId="0" applyFont="1" applyBorder="1"/>
    <xf numFmtId="3" fontId="1" fillId="45" borderId="19" xfId="45" applyNumberFormat="1" applyFont="1" applyFill="1" applyBorder="1"/>
    <xf numFmtId="3" fontId="1" fillId="45" borderId="1" xfId="45" applyNumberFormat="1" applyFont="1" applyFill="1" applyBorder="1"/>
    <xf numFmtId="3" fontId="0" fillId="46" borderId="1" xfId="0" applyNumberFormat="1" applyFill="1" applyBorder="1"/>
    <xf numFmtId="0" fontId="0" fillId="5" borderId="0" xfId="0" applyFill="1"/>
    <xf numFmtId="0" fontId="0" fillId="5" borderId="0" xfId="0" applyFill="1" applyAlignment="1">
      <alignment horizontal="right"/>
    </xf>
    <xf numFmtId="0" fontId="0" fillId="44" borderId="0" xfId="0" applyFill="1"/>
    <xf numFmtId="0" fontId="0" fillId="0" borderId="32" xfId="0" applyBorder="1"/>
    <xf numFmtId="0" fontId="0" fillId="0" borderId="15" xfId="0" applyBorder="1" applyAlignment="1">
      <alignment horizontal="right"/>
    </xf>
    <xf numFmtId="0" fontId="0" fillId="0" borderId="15" xfId="0" applyBorder="1"/>
    <xf numFmtId="0" fontId="0" fillId="0" borderId="11" xfId="0" applyBorder="1"/>
    <xf numFmtId="0" fontId="1" fillId="0" borderId="29" xfId="0" applyFont="1" applyBorder="1"/>
    <xf numFmtId="0" fontId="0" fillId="46" borderId="1" xfId="0" applyFill="1" applyBorder="1"/>
    <xf numFmtId="2" fontId="0" fillId="0" borderId="6" xfId="0" applyNumberFormat="1" applyBorder="1"/>
    <xf numFmtId="1" fontId="0" fillId="0" borderId="6" xfId="0" applyNumberFormat="1" applyBorder="1"/>
    <xf numFmtId="0" fontId="0" fillId="5" borderId="1" xfId="0" applyFill="1" applyBorder="1" applyAlignment="1">
      <alignment horizontal="right"/>
    </xf>
    <xf numFmtId="3" fontId="0" fillId="0" borderId="36" xfId="45" applyNumberFormat="1" applyFont="1" applyFill="1" applyBorder="1"/>
    <xf numFmtId="3" fontId="1" fillId="46" borderId="1" xfId="0" applyNumberFormat="1" applyFont="1" applyFill="1" applyBorder="1"/>
    <xf numFmtId="44" fontId="0" fillId="0" borderId="0" xfId="0" applyNumberFormat="1" applyAlignment="1">
      <alignment horizontal="right"/>
    </xf>
    <xf numFmtId="9" fontId="0" fillId="0" borderId="0" xfId="0" applyNumberFormat="1"/>
    <xf numFmtId="0" fontId="1" fillId="42" borderId="19" xfId="0" applyFont="1" applyFill="1" applyBorder="1"/>
    <xf numFmtId="3" fontId="1" fillId="42" borderId="14" xfId="45" applyNumberFormat="1" applyFont="1" applyFill="1" applyBorder="1"/>
    <xf numFmtId="3" fontId="1" fillId="42" borderId="13" xfId="0" applyNumberFormat="1" applyFont="1" applyFill="1" applyBorder="1" applyAlignment="1">
      <alignment horizontal="right"/>
    </xf>
    <xf numFmtId="3" fontId="1" fillId="42" borderId="14" xfId="0" applyNumberFormat="1" applyFont="1" applyFill="1" applyBorder="1"/>
    <xf numFmtId="0" fontId="1" fillId="0" borderId="0" xfId="0" applyFont="1"/>
    <xf numFmtId="44" fontId="1" fillId="0" borderId="0" xfId="45" applyFont="1" applyFill="1" applyBorder="1"/>
    <xf numFmtId="44" fontId="0" fillId="0" borderId="0" xfId="0" applyNumberFormat="1"/>
    <xf numFmtId="0" fontId="4" fillId="0" borderId="0" xfId="1" applyFill="1" applyBorder="1" applyProtection="1"/>
    <xf numFmtId="0" fontId="1" fillId="0" borderId="0" xfId="0" applyFont="1" applyAlignment="1">
      <alignment vertical="center"/>
    </xf>
    <xf numFmtId="0" fontId="5" fillId="15" borderId="4" xfId="0" applyFont="1" applyFill="1" applyBorder="1" applyAlignment="1">
      <alignment horizontal="right" vertical="center" wrapText="1"/>
    </xf>
    <xf numFmtId="0" fontId="5" fillId="15" borderId="5" xfId="0" applyFont="1" applyFill="1" applyBorder="1" applyAlignment="1">
      <alignment horizontal="right" vertical="center"/>
    </xf>
    <xf numFmtId="165" fontId="5" fillId="16" borderId="8" xfId="0" applyNumberFormat="1" applyFont="1" applyFill="1" applyBorder="1" applyAlignment="1">
      <alignment horizontal="center" vertical="center" wrapText="1"/>
    </xf>
    <xf numFmtId="165" fontId="5" fillId="16" borderId="8" xfId="0" applyNumberFormat="1" applyFont="1" applyFill="1" applyBorder="1" applyAlignment="1">
      <alignment horizontal="center" wrapText="1"/>
    </xf>
    <xf numFmtId="165" fontId="5" fillId="16" borderId="4" xfId="0" applyNumberFormat="1" applyFont="1" applyFill="1" applyBorder="1" applyAlignment="1">
      <alignment horizontal="center" wrapText="1"/>
    </xf>
    <xf numFmtId="165" fontId="5" fillId="16" borderId="2" xfId="0" applyNumberFormat="1" applyFont="1" applyFill="1" applyBorder="1" applyAlignment="1">
      <alignment horizontal="center" vertical="center" wrapText="1"/>
    </xf>
    <xf numFmtId="165" fontId="5" fillId="16" borderId="56" xfId="0" applyNumberFormat="1" applyFont="1" applyFill="1" applyBorder="1" applyAlignment="1">
      <alignment horizontal="center" vertical="center" wrapText="1"/>
    </xf>
    <xf numFmtId="165" fontId="5" fillId="16" borderId="56" xfId="0" applyNumberFormat="1" applyFont="1" applyFill="1" applyBorder="1" applyAlignment="1">
      <alignment horizontal="center" wrapText="1"/>
    </xf>
    <xf numFmtId="165" fontId="5" fillId="16" borderId="3" xfId="0" applyNumberFormat="1" applyFont="1" applyFill="1" applyBorder="1" applyAlignment="1">
      <alignment horizontal="center" wrapText="1"/>
    </xf>
    <xf numFmtId="165" fontId="35" fillId="3" borderId="9" xfId="0" applyNumberFormat="1" applyFont="1" applyFill="1" applyBorder="1" applyAlignment="1" applyProtection="1">
      <alignment horizontal="center" vertical="center"/>
      <protection locked="0"/>
    </xf>
    <xf numFmtId="165" fontId="5" fillId="16" borderId="4" xfId="0" applyNumberFormat="1" applyFont="1" applyFill="1" applyBorder="1" applyAlignment="1">
      <alignment horizontal="center" vertical="center"/>
    </xf>
    <xf numFmtId="165" fontId="5" fillId="16" borderId="5" xfId="0" applyNumberFormat="1" applyFont="1" applyFill="1" applyBorder="1" applyAlignment="1">
      <alignment horizontal="center" vertical="center" wrapText="1"/>
    </xf>
    <xf numFmtId="165" fontId="7" fillId="16" borderId="8" xfId="0" applyNumberFormat="1" applyFont="1" applyFill="1" applyBorder="1" applyAlignment="1">
      <alignment horizontal="center" wrapText="1"/>
    </xf>
    <xf numFmtId="165" fontId="7" fillId="16" borderId="5" xfId="0" applyNumberFormat="1" applyFont="1" applyFill="1" applyBorder="1" applyAlignment="1">
      <alignment horizontal="center" wrapText="1"/>
    </xf>
    <xf numFmtId="0" fontId="0" fillId="0" borderId="22" xfId="0" applyBorder="1" applyAlignment="1">
      <alignment horizontal="center" vertical="center"/>
    </xf>
    <xf numFmtId="0" fontId="1" fillId="0" borderId="72" xfId="0" applyFont="1" applyBorder="1" applyAlignment="1">
      <alignment horizontal="center" vertical="center" wrapText="1"/>
    </xf>
    <xf numFmtId="0" fontId="1" fillId="0" borderId="73" xfId="0" applyFont="1" applyBorder="1" applyAlignment="1">
      <alignment horizontal="center" vertical="center" wrapText="1"/>
    </xf>
    <xf numFmtId="0" fontId="1" fillId="0" borderId="74" xfId="0" applyFont="1" applyBorder="1" applyAlignment="1">
      <alignment horizontal="center" vertical="center" wrapText="1"/>
    </xf>
    <xf numFmtId="0" fontId="0" fillId="0" borderId="43" xfId="0" applyBorder="1" applyAlignment="1">
      <alignment horizontal="center" vertical="center"/>
    </xf>
    <xf numFmtId="0" fontId="0" fillId="0" borderId="54" xfId="0" applyBorder="1" applyAlignment="1">
      <alignment horizontal="center" vertical="center"/>
    </xf>
    <xf numFmtId="0" fontId="0" fillId="0" borderId="23" xfId="0" applyBorder="1"/>
    <xf numFmtId="0" fontId="0" fillId="0" borderId="25" xfId="0" applyBorder="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6" xfId="0" applyFill="1" applyBorder="1" applyAlignment="1">
      <alignment horizontal="center" vertical="center"/>
    </xf>
    <xf numFmtId="0" fontId="4" fillId="0" borderId="17" xfId="1" applyBorder="1" applyAlignment="1">
      <alignment horizontal="left" vertical="center" wrapText="1"/>
    </xf>
    <xf numFmtId="0" fontId="4" fillId="0" borderId="69" xfId="1" applyBorder="1" applyAlignment="1">
      <alignment horizontal="left" vertical="center" wrapText="1"/>
    </xf>
    <xf numFmtId="0" fontId="4" fillId="0" borderId="56" xfId="1" applyBorder="1" applyAlignment="1">
      <alignment horizontal="left" vertical="center" wrapText="1"/>
    </xf>
    <xf numFmtId="0" fontId="17" fillId="0" borderId="11" xfId="0" applyFont="1" applyBorder="1" applyAlignment="1">
      <alignment horizontal="left" vertical="center"/>
    </xf>
    <xf numFmtId="0" fontId="17" fillId="0" borderId="0" xfId="0" applyFont="1" applyAlignment="1">
      <alignment horizontal="left" vertical="center"/>
    </xf>
    <xf numFmtId="0" fontId="17" fillId="0" borderId="36" xfId="0" applyFont="1" applyBorder="1" applyAlignment="1">
      <alignment horizontal="left" vertical="center"/>
    </xf>
    <xf numFmtId="0" fontId="17" fillId="0" borderId="29" xfId="0" applyFont="1" applyBorder="1" applyAlignment="1">
      <alignment horizontal="left" vertical="center"/>
    </xf>
    <xf numFmtId="0" fontId="17" fillId="0" borderId="37" xfId="0" applyFont="1" applyBorder="1" applyAlignment="1">
      <alignment horizontal="left" vertical="center"/>
    </xf>
    <xf numFmtId="0" fontId="17" fillId="0" borderId="30" xfId="0" applyFont="1" applyBorder="1" applyAlignment="1">
      <alignment horizontal="left" vertical="center"/>
    </xf>
    <xf numFmtId="0" fontId="4" fillId="0" borderId="18" xfId="1" applyBorder="1" applyAlignment="1">
      <alignment horizontal="left" vertical="center" wrapText="1"/>
    </xf>
    <xf numFmtId="0" fontId="4" fillId="0" borderId="67" xfId="1" applyBorder="1" applyAlignment="1">
      <alignment horizontal="left" vertical="center" wrapText="1"/>
    </xf>
    <xf numFmtId="0" fontId="4" fillId="0" borderId="3" xfId="1" applyBorder="1" applyAlignment="1">
      <alignment horizontal="left" vertical="center" wrapText="1"/>
    </xf>
    <xf numFmtId="0" fontId="17" fillId="0" borderId="11" xfId="0" applyFont="1" applyBorder="1" applyAlignment="1">
      <alignment horizontal="left" vertical="center" wrapText="1"/>
    </xf>
    <xf numFmtId="0" fontId="17" fillId="0" borderId="0" xfId="0" applyFont="1" applyAlignment="1">
      <alignment horizontal="left" vertical="center" wrapText="1"/>
    </xf>
    <xf numFmtId="0" fontId="17" fillId="0" borderId="36" xfId="0" applyFont="1" applyBorder="1" applyAlignment="1">
      <alignment horizontal="left" vertical="center" wrapText="1"/>
    </xf>
    <xf numFmtId="0" fontId="8" fillId="3" borderId="32" xfId="0" applyFont="1" applyFill="1" applyBorder="1" applyAlignment="1">
      <alignment horizontal="center"/>
    </xf>
    <xf numFmtId="0" fontId="8" fillId="3" borderId="12" xfId="0" applyFont="1" applyFill="1" applyBorder="1" applyAlignment="1">
      <alignment horizontal="center"/>
    </xf>
    <xf numFmtId="0" fontId="8" fillId="3" borderId="33" xfId="0" applyFont="1" applyFill="1" applyBorder="1" applyAlignment="1">
      <alignment horizontal="center"/>
    </xf>
    <xf numFmtId="0" fontId="6" fillId="15" borderId="19" xfId="0" applyFont="1" applyFill="1" applyBorder="1" applyAlignment="1">
      <alignment horizontal="center"/>
    </xf>
    <xf numFmtId="0" fontId="6" fillId="15" borderId="13" xfId="0" applyFont="1" applyFill="1" applyBorder="1" applyAlignment="1">
      <alignment horizontal="center"/>
    </xf>
    <xf numFmtId="0" fontId="6" fillId="15" borderId="14" xfId="0" applyFont="1" applyFill="1" applyBorder="1" applyAlignment="1">
      <alignment horizontal="center"/>
    </xf>
    <xf numFmtId="0" fontId="0" fillId="0" borderId="17" xfId="0" applyBorder="1" applyAlignment="1">
      <alignment vertical="center" wrapText="1"/>
    </xf>
    <xf numFmtId="0" fontId="0" fillId="0" borderId="69" xfId="0" applyBorder="1" applyAlignment="1">
      <alignment vertical="center" wrapText="1"/>
    </xf>
    <xf numFmtId="0" fontId="0" fillId="0" borderId="56" xfId="0" applyBorder="1" applyAlignment="1">
      <alignment vertical="center" wrapText="1"/>
    </xf>
    <xf numFmtId="0" fontId="5" fillId="0" borderId="17" xfId="1" applyFont="1" applyBorder="1" applyAlignment="1">
      <alignment horizontal="left" vertical="center" wrapText="1"/>
    </xf>
    <xf numFmtId="0" fontId="0" fillId="0" borderId="16" xfId="0" applyBorder="1" applyAlignment="1">
      <alignment horizontal="left" vertical="center" wrapText="1"/>
    </xf>
    <xf numFmtId="0" fontId="0" fillId="0" borderId="66" xfId="0" applyBorder="1" applyAlignment="1">
      <alignment horizontal="left" vertical="center" wrapText="1"/>
    </xf>
    <xf numFmtId="0" fontId="0" fillId="0" borderId="2" xfId="0" applyBorder="1" applyAlignment="1">
      <alignment horizontal="left" vertical="center" wrapText="1"/>
    </xf>
    <xf numFmtId="0" fontId="0" fillId="0" borderId="24" xfId="0" applyBorder="1" applyAlignment="1" applyProtection="1">
      <alignment horizontal="left" vertical="center"/>
      <protection locked="0"/>
    </xf>
    <xf numFmtId="0" fontId="0" fillId="0" borderId="31" xfId="0" applyBorder="1" applyAlignment="1" applyProtection="1">
      <alignment horizontal="left" vertical="center"/>
      <protection locked="0"/>
    </xf>
    <xf numFmtId="0" fontId="0" fillId="0" borderId="42"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0" fillId="0" borderId="26" xfId="0" applyBorder="1" applyAlignment="1" applyProtection="1">
      <alignment horizontal="left" vertical="center"/>
      <protection locked="0"/>
    </xf>
    <xf numFmtId="0" fontId="0" fillId="0" borderId="35" xfId="0" applyBorder="1" applyAlignment="1" applyProtection="1">
      <alignment horizontal="left" vertical="center"/>
      <protection locked="0"/>
    </xf>
    <xf numFmtId="0" fontId="0" fillId="0" borderId="54" xfId="0" applyBorder="1" applyAlignment="1" applyProtection="1">
      <alignment horizontal="left" vertical="center"/>
      <protection locked="0"/>
    </xf>
    <xf numFmtId="0" fontId="0" fillId="0" borderId="27" xfId="0" applyBorder="1" applyAlignment="1" applyProtection="1">
      <alignment horizontal="left" vertical="center"/>
      <protection locked="0"/>
    </xf>
    <xf numFmtId="0" fontId="1" fillId="0" borderId="19"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0" fillId="0" borderId="22" xfId="0" applyBorder="1" applyAlignment="1" applyProtection="1">
      <alignment horizontal="left" vertical="center"/>
      <protection locked="0"/>
    </xf>
    <xf numFmtId="0" fontId="0" fillId="0" borderId="34" xfId="0" applyBorder="1" applyAlignment="1" applyProtection="1">
      <alignment horizontal="left" vertical="center"/>
      <protection locked="0"/>
    </xf>
    <xf numFmtId="0" fontId="0" fillId="0" borderId="43"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32"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0" borderId="36" xfId="0" applyBorder="1" applyAlignment="1" applyProtection="1">
      <alignment horizontal="left" vertical="top" wrapText="1"/>
      <protection locked="0"/>
    </xf>
    <xf numFmtId="0" fontId="0" fillId="0" borderId="29" xfId="0" applyBorder="1" applyAlignment="1" applyProtection="1">
      <alignment horizontal="left" vertical="top" wrapText="1"/>
      <protection locked="0"/>
    </xf>
    <xf numFmtId="0" fontId="0" fillId="0" borderId="37" xfId="0" applyBorder="1" applyAlignment="1" applyProtection="1">
      <alignment horizontal="left" vertical="top" wrapText="1"/>
      <protection locked="0"/>
    </xf>
    <xf numFmtId="0" fontId="0" fillId="0" borderId="30" xfId="0" applyBorder="1" applyAlignment="1" applyProtection="1">
      <alignment horizontal="left" vertical="top" wrapText="1"/>
      <protection locked="0"/>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6" fillId="0" borderId="14" xfId="0" applyFont="1" applyBorder="1" applyAlignment="1">
      <alignment horizontal="center" vertical="center" wrapText="1"/>
    </xf>
    <xf numFmtId="0" fontId="0" fillId="0" borderId="20" xfId="0" applyBorder="1" applyAlignment="1" applyProtection="1">
      <alignment horizontal="left" vertical="center"/>
      <protection locked="0"/>
    </xf>
    <xf numFmtId="0" fontId="0" fillId="0" borderId="49"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21" xfId="0" applyBorder="1" applyAlignment="1" applyProtection="1">
      <alignment horizontal="left" vertical="center"/>
      <protection locked="0"/>
    </xf>
    <xf numFmtId="0" fontId="0" fillId="0" borderId="37" xfId="0" applyBorder="1" applyAlignment="1">
      <alignment horizontal="center"/>
    </xf>
    <xf numFmtId="9" fontId="0" fillId="0" borderId="19" xfId="0" applyNumberFormat="1" applyBorder="1" applyAlignment="1" applyProtection="1">
      <alignment horizontal="center" vertical="center"/>
      <protection locked="0"/>
    </xf>
    <xf numFmtId="9" fontId="0" fillId="0" borderId="14" xfId="0" applyNumberFormat="1" applyBorder="1" applyAlignment="1" applyProtection="1">
      <alignment horizontal="center" vertical="center"/>
      <protection locked="0"/>
    </xf>
    <xf numFmtId="0" fontId="4" fillId="0" borderId="0" xfId="1" applyAlignment="1" applyProtection="1">
      <alignment horizontal="left" vertical="center"/>
    </xf>
    <xf numFmtId="0" fontId="4" fillId="0" borderId="0" xfId="1" applyAlignment="1" applyProtection="1">
      <alignment horizontal="left" vertical="center" wrapText="1"/>
    </xf>
    <xf numFmtId="0" fontId="0" fillId="3" borderId="28" xfId="0" applyFill="1" applyBorder="1" applyAlignment="1" applyProtection="1">
      <alignment horizontal="center" vertical="center"/>
      <protection locked="0"/>
    </xf>
    <xf numFmtId="0" fontId="0" fillId="3" borderId="13" xfId="0" applyFill="1" applyBorder="1" applyAlignment="1" applyProtection="1">
      <alignment horizontal="center" vertical="center"/>
      <protection locked="0"/>
    </xf>
    <xf numFmtId="0" fontId="0" fillId="3" borderId="14" xfId="0" applyFill="1" applyBorder="1" applyAlignment="1" applyProtection="1">
      <alignment horizontal="center" vertical="center"/>
      <protection locked="0"/>
    </xf>
    <xf numFmtId="0" fontId="7" fillId="15" borderId="19" xfId="0" applyFont="1" applyFill="1" applyBorder="1" applyAlignment="1">
      <alignment horizontal="center" vertical="center"/>
    </xf>
    <xf numFmtId="0" fontId="7" fillId="15" borderId="13" xfId="0" applyFont="1" applyFill="1" applyBorder="1" applyAlignment="1">
      <alignment horizontal="center" vertical="center"/>
    </xf>
    <xf numFmtId="0" fontId="7" fillId="15" borderId="55" xfId="0" applyFont="1" applyFill="1" applyBorder="1" applyAlignment="1">
      <alignment horizontal="center" vertical="center"/>
    </xf>
    <xf numFmtId="0" fontId="5" fillId="3" borderId="20" xfId="0" applyFont="1" applyFill="1" applyBorder="1" applyAlignment="1" applyProtection="1">
      <alignment horizontal="center" vertical="center"/>
      <protection locked="0"/>
    </xf>
    <xf numFmtId="0" fontId="5" fillId="3" borderId="49" xfId="0" applyFont="1" applyFill="1" applyBorder="1" applyAlignment="1" applyProtection="1">
      <alignment horizontal="center" vertical="center"/>
      <protection locked="0"/>
    </xf>
    <xf numFmtId="0" fontId="5" fillId="3" borderId="21" xfId="0" applyFont="1" applyFill="1" applyBorder="1" applyAlignment="1" applyProtection="1">
      <alignment horizontal="center" vertical="center"/>
      <protection locked="0"/>
    </xf>
    <xf numFmtId="0" fontId="5" fillId="15" borderId="22" xfId="0" applyFont="1" applyFill="1" applyBorder="1" applyAlignment="1">
      <alignment horizontal="right" vertical="center" wrapText="1"/>
    </xf>
    <xf numFmtId="0" fontId="5" fillId="15" borderId="34" xfId="0" applyFont="1" applyFill="1" applyBorder="1" applyAlignment="1">
      <alignment horizontal="right" vertical="center" wrapText="1"/>
    </xf>
    <xf numFmtId="0" fontId="5" fillId="15" borderId="43" xfId="0" applyFont="1" applyFill="1" applyBorder="1" applyAlignment="1">
      <alignment horizontal="right" vertical="center" wrapText="1"/>
    </xf>
    <xf numFmtId="0" fontId="5" fillId="15" borderId="44" xfId="0" applyFont="1" applyFill="1" applyBorder="1" applyAlignment="1">
      <alignment horizontal="right" vertical="center"/>
    </xf>
    <xf numFmtId="0" fontId="5" fillId="15" borderId="45" xfId="0" applyFont="1" applyFill="1" applyBorder="1" applyAlignment="1">
      <alignment horizontal="right" vertical="center"/>
    </xf>
    <xf numFmtId="0" fontId="5" fillId="15" borderId="46" xfId="0" applyFont="1" applyFill="1" applyBorder="1" applyAlignment="1">
      <alignment horizontal="right" vertical="center"/>
    </xf>
    <xf numFmtId="0" fontId="2" fillId="2" borderId="15" xfId="0" applyFont="1" applyFill="1" applyBorder="1" applyAlignment="1">
      <alignment horizontal="center" vertical="center"/>
    </xf>
    <xf numFmtId="0" fontId="5" fillId="15" borderId="16" xfId="0" applyFont="1" applyFill="1" applyBorder="1" applyAlignment="1">
      <alignment horizontal="right" vertical="center" wrapText="1"/>
    </xf>
    <xf numFmtId="0" fontId="5" fillId="15" borderId="71" xfId="0" applyFont="1" applyFill="1" applyBorder="1" applyAlignment="1">
      <alignment horizontal="right" vertical="center" wrapText="1"/>
    </xf>
    <xf numFmtId="1" fontId="35" fillId="3" borderId="16" xfId="0" applyNumberFormat="1" applyFont="1" applyFill="1" applyBorder="1" applyAlignment="1" applyProtection="1">
      <alignment horizontal="center" vertical="center"/>
      <protection locked="0"/>
    </xf>
    <xf numFmtId="1" fontId="35" fillId="3" borderId="2" xfId="0" applyNumberFormat="1" applyFont="1" applyFill="1" applyBorder="1" applyAlignment="1" applyProtection="1">
      <alignment horizontal="center" vertical="center"/>
      <protection locked="0"/>
    </xf>
    <xf numFmtId="0" fontId="57" fillId="12" borderId="17" xfId="0" applyFont="1" applyFill="1" applyBorder="1" applyAlignment="1">
      <alignment horizontal="left" vertical="center" wrapText="1"/>
    </xf>
    <xf numFmtId="0" fontId="57" fillId="12" borderId="56" xfId="0" applyFont="1" applyFill="1" applyBorder="1" applyAlignment="1">
      <alignment horizontal="left" vertical="center" wrapText="1"/>
    </xf>
    <xf numFmtId="0" fontId="58" fillId="12" borderId="17" xfId="0" applyFont="1" applyFill="1" applyBorder="1" applyAlignment="1">
      <alignment horizontal="left" vertical="center" wrapText="1"/>
    </xf>
    <xf numFmtId="0" fontId="58" fillId="12" borderId="56" xfId="0" applyFont="1" applyFill="1" applyBorder="1" applyAlignment="1">
      <alignment horizontal="left" vertical="center" wrapText="1"/>
    </xf>
    <xf numFmtId="9" fontId="0" fillId="3" borderId="4" xfId="0" applyNumberFormat="1" applyFill="1" applyBorder="1" applyAlignment="1" applyProtection="1">
      <alignment horizontal="center" vertical="center"/>
      <protection locked="0"/>
    </xf>
    <xf numFmtId="9" fontId="0" fillId="3" borderId="8" xfId="0" applyNumberFormat="1" applyFill="1" applyBorder="1" applyAlignment="1" applyProtection="1">
      <alignment horizontal="center" vertical="center"/>
      <protection locked="0"/>
    </xf>
    <xf numFmtId="9" fontId="0" fillId="3" borderId="5" xfId="0" applyNumberFormat="1" applyFill="1" applyBorder="1" applyAlignment="1" applyProtection="1">
      <alignment horizontal="center" vertical="center"/>
      <protection locked="0"/>
    </xf>
    <xf numFmtId="0" fontId="0" fillId="0" borderId="16" xfId="0" applyBorder="1" applyAlignment="1" applyProtection="1">
      <alignment horizontal="left" vertical="center"/>
      <protection locked="0"/>
    </xf>
    <xf numFmtId="0" fontId="0" fillId="0" borderId="66" xfId="0" applyBorder="1" applyAlignment="1" applyProtection="1">
      <alignment horizontal="left" vertical="center"/>
      <protection locked="0"/>
    </xf>
    <xf numFmtId="0" fontId="0" fillId="0" borderId="2" xfId="0" applyBorder="1" applyAlignment="1" applyProtection="1">
      <alignment horizontal="left" vertical="center"/>
      <protection locked="0"/>
    </xf>
    <xf numFmtId="0" fontId="1" fillId="0" borderId="12" xfId="0" applyFont="1" applyBorder="1" applyAlignment="1">
      <alignment horizontal="center" vertical="center" wrapText="1"/>
    </xf>
    <xf numFmtId="0" fontId="1" fillId="0" borderId="0" xfId="0" applyFont="1" applyAlignment="1">
      <alignment horizontal="center" vertical="center" wrapText="1"/>
    </xf>
    <xf numFmtId="0" fontId="0" fillId="0" borderId="18" xfId="0" applyBorder="1" applyAlignment="1" applyProtection="1">
      <alignment horizontal="center" vertical="center"/>
      <protection locked="0"/>
    </xf>
    <xf numFmtId="0" fontId="0" fillId="0" borderId="67"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5" fillId="15" borderId="18" xfId="0" applyFont="1" applyFill="1" applyBorder="1" applyAlignment="1">
      <alignment horizontal="right" vertical="center"/>
    </xf>
    <xf numFmtId="0" fontId="5" fillId="15" borderId="70" xfId="0" applyFont="1" applyFill="1" applyBorder="1" applyAlignment="1">
      <alignment horizontal="right" vertical="center"/>
    </xf>
    <xf numFmtId="0" fontId="4" fillId="0" borderId="0" xfId="1" applyFill="1" applyAlignment="1" applyProtection="1">
      <alignment horizontal="left" vertical="center" wrapText="1"/>
    </xf>
    <xf numFmtId="0" fontId="58" fillId="12" borderId="18" xfId="0" applyFont="1" applyFill="1" applyBorder="1" applyAlignment="1">
      <alignment horizontal="left" vertical="center" wrapText="1"/>
    </xf>
    <xf numFmtId="0" fontId="58" fillId="12" borderId="3" xfId="0" applyFont="1" applyFill="1" applyBorder="1" applyAlignment="1">
      <alignment horizontal="left" vertical="center" wrapText="1"/>
    </xf>
    <xf numFmtId="1" fontId="35" fillId="3" borderId="18" xfId="0" applyNumberFormat="1" applyFont="1" applyFill="1" applyBorder="1" applyAlignment="1" applyProtection="1">
      <alignment horizontal="center" vertical="center"/>
      <protection locked="0"/>
    </xf>
    <xf numFmtId="1" fontId="35" fillId="3" borderId="3" xfId="0" applyNumberFormat="1" applyFont="1" applyFill="1" applyBorder="1" applyAlignment="1" applyProtection="1">
      <alignment horizontal="center" vertical="center"/>
      <protection locked="0"/>
    </xf>
    <xf numFmtId="0" fontId="6" fillId="0" borderId="19" xfId="0" applyFont="1" applyBorder="1" applyAlignment="1">
      <alignment horizontal="center" vertical="center"/>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12" borderId="40" xfId="0" applyFont="1" applyFill="1" applyBorder="1" applyAlignment="1">
      <alignment horizontal="right" vertical="center"/>
    </xf>
    <xf numFmtId="0" fontId="5" fillId="12" borderId="38" xfId="0" applyFont="1" applyFill="1" applyBorder="1" applyAlignment="1">
      <alignment horizontal="right" vertical="center"/>
    </xf>
    <xf numFmtId="0" fontId="5" fillId="12" borderId="39" xfId="0" applyFont="1" applyFill="1" applyBorder="1" applyAlignment="1">
      <alignment horizontal="right" vertical="center"/>
    </xf>
    <xf numFmtId="0" fontId="5" fillId="12" borderId="24" xfId="0" applyFont="1" applyFill="1" applyBorder="1" applyAlignment="1">
      <alignment horizontal="right" vertical="center"/>
    </xf>
    <xf numFmtId="0" fontId="5" fillId="12" borderId="31" xfId="0" applyFont="1" applyFill="1" applyBorder="1" applyAlignment="1">
      <alignment horizontal="right" vertical="center"/>
    </xf>
    <xf numFmtId="0" fontId="5" fillId="12" borderId="42" xfId="0" applyFont="1" applyFill="1" applyBorder="1" applyAlignment="1">
      <alignment horizontal="right" vertical="center"/>
    </xf>
    <xf numFmtId="0" fontId="5" fillId="12" borderId="24" xfId="0" applyFont="1" applyFill="1" applyBorder="1" applyAlignment="1">
      <alignment horizontal="left" vertical="center" wrapText="1"/>
    </xf>
    <xf numFmtId="0" fontId="5" fillId="12" borderId="31" xfId="0" applyFont="1" applyFill="1" applyBorder="1" applyAlignment="1">
      <alignment horizontal="left" vertical="center" wrapText="1"/>
    </xf>
    <xf numFmtId="0" fontId="5" fillId="12" borderId="42" xfId="0" applyFont="1" applyFill="1" applyBorder="1" applyAlignment="1">
      <alignment horizontal="left" vertical="center" wrapText="1"/>
    </xf>
    <xf numFmtId="0" fontId="5" fillId="12" borderId="44" xfId="0" applyFont="1" applyFill="1" applyBorder="1" applyAlignment="1">
      <alignment horizontal="left" vertical="center" wrapText="1"/>
    </xf>
    <xf numFmtId="0" fontId="5" fillId="12" borderId="45" xfId="0" applyFont="1" applyFill="1" applyBorder="1" applyAlignment="1">
      <alignment horizontal="left" vertical="center" wrapText="1"/>
    </xf>
    <xf numFmtId="0" fontId="5" fillId="12" borderId="46" xfId="0" applyFont="1" applyFill="1" applyBorder="1" applyAlignment="1">
      <alignment horizontal="left" vertical="center" wrapText="1"/>
    </xf>
    <xf numFmtId="0" fontId="57" fillId="12" borderId="22" xfId="0" applyFont="1" applyFill="1" applyBorder="1" applyAlignment="1">
      <alignment horizontal="left" vertical="center" wrapText="1"/>
    </xf>
    <xf numFmtId="0" fontId="57" fillId="12" borderId="23" xfId="0" applyFont="1" applyFill="1" applyBorder="1" applyAlignment="1">
      <alignment horizontal="left" vertical="center" wrapText="1"/>
    </xf>
    <xf numFmtId="0" fontId="57" fillId="12" borderId="24" xfId="0" applyFont="1" applyFill="1" applyBorder="1" applyAlignment="1">
      <alignment horizontal="left" vertical="center" wrapText="1"/>
    </xf>
    <xf numFmtId="0" fontId="57" fillId="12" borderId="25" xfId="0" applyFont="1" applyFill="1" applyBorder="1" applyAlignment="1">
      <alignment horizontal="left" vertical="center" wrapText="1"/>
    </xf>
    <xf numFmtId="0" fontId="57" fillId="12" borderId="26" xfId="0" applyFont="1" applyFill="1" applyBorder="1" applyAlignment="1">
      <alignment horizontal="left" vertical="center" wrapText="1"/>
    </xf>
    <xf numFmtId="0" fontId="57" fillId="12" borderId="27" xfId="0" applyFont="1" applyFill="1" applyBorder="1" applyAlignment="1">
      <alignment horizontal="left" vertical="center" wrapText="1"/>
    </xf>
    <xf numFmtId="0" fontId="57" fillId="12" borderId="16" xfId="0" applyFont="1" applyFill="1" applyBorder="1" applyAlignment="1">
      <alignment horizontal="left" vertical="center"/>
    </xf>
    <xf numFmtId="0" fontId="57" fillId="12" borderId="2" xfId="0" applyFont="1" applyFill="1" applyBorder="1" applyAlignment="1">
      <alignment horizontal="left" vertical="center"/>
    </xf>
    <xf numFmtId="0" fontId="0" fillId="42" borderId="19" xfId="0" applyFill="1" applyBorder="1" applyAlignment="1">
      <alignment horizontal="center"/>
    </xf>
    <xf numFmtId="0" fontId="0" fillId="42" borderId="13" xfId="0" applyFill="1" applyBorder="1" applyAlignment="1">
      <alignment horizontal="center"/>
    </xf>
    <xf numFmtId="0" fontId="0" fillId="0" borderId="0" xfId="0" applyAlignment="1">
      <alignment horizontal="left" vertical="center" wrapText="1"/>
    </xf>
    <xf numFmtId="0" fontId="0" fillId="0" borderId="0" xfId="0" applyAlignment="1">
      <alignment horizontal="left" vertical="top" wrapText="1"/>
    </xf>
    <xf numFmtId="0" fontId="5" fillId="0" borderId="0" xfId="0" applyFont="1" applyAlignment="1">
      <alignment horizontal="left" wrapText="1"/>
    </xf>
    <xf numFmtId="0" fontId="0" fillId="0" borderId="0" xfId="0" applyAlignment="1">
      <alignment horizontal="left" vertical="center"/>
    </xf>
    <xf numFmtId="0" fontId="0" fillId="0" borderId="0" xfId="0" applyAlignment="1">
      <alignment horizontal="left" wrapText="1"/>
    </xf>
    <xf numFmtId="0" fontId="30" fillId="0" borderId="0" xfId="0" applyFont="1"/>
    <xf numFmtId="0" fontId="16" fillId="0" borderId="0" xfId="0" applyFont="1"/>
    <xf numFmtId="165" fontId="24" fillId="13" borderId="16" xfId="0" applyNumberFormat="1" applyFont="1" applyFill="1" applyBorder="1" applyAlignment="1">
      <alignment horizontal="center"/>
    </xf>
    <xf numFmtId="165" fontId="24" fillId="13" borderId="2" xfId="0" applyNumberFormat="1" applyFont="1" applyFill="1" applyBorder="1" applyAlignment="1">
      <alignment horizontal="center"/>
    </xf>
    <xf numFmtId="0" fontId="16" fillId="6" borderId="16" xfId="3" applyFont="1" applyFill="1" applyBorder="1" applyAlignment="1">
      <alignment horizontal="center"/>
    </xf>
    <xf numFmtId="0" fontId="16" fillId="6" borderId="2" xfId="3" applyFont="1" applyFill="1" applyBorder="1" applyAlignment="1">
      <alignment horizontal="center"/>
    </xf>
    <xf numFmtId="0" fontId="36" fillId="6" borderId="29" xfId="3" applyFill="1" applyBorder="1" applyAlignment="1">
      <alignment horizontal="center" wrapText="1"/>
    </xf>
    <xf numFmtId="0" fontId="36" fillId="6" borderId="37" xfId="3" applyFill="1" applyBorder="1" applyAlignment="1">
      <alignment horizontal="center" wrapText="1"/>
    </xf>
    <xf numFmtId="0" fontId="16" fillId="6" borderId="16" xfId="0" applyFont="1" applyFill="1" applyBorder="1" applyAlignment="1">
      <alignment horizontal="center"/>
    </xf>
    <xf numFmtId="0" fontId="16" fillId="6" borderId="2" xfId="0" applyFont="1" applyFill="1" applyBorder="1" applyAlignment="1">
      <alignment horizontal="center"/>
    </xf>
    <xf numFmtId="165" fontId="25" fillId="13" borderId="19" xfId="0" applyNumberFormat="1" applyFont="1" applyFill="1" applyBorder="1" applyAlignment="1">
      <alignment horizontal="center"/>
    </xf>
    <xf numFmtId="165" fontId="25" fillId="13" borderId="14" xfId="0" applyNumberFormat="1" applyFont="1" applyFill="1" applyBorder="1" applyAlignment="1">
      <alignment horizontal="center"/>
    </xf>
    <xf numFmtId="165" fontId="26" fillId="13" borderId="19" xfId="0" applyNumberFormat="1" applyFont="1" applyFill="1" applyBorder="1" applyAlignment="1">
      <alignment horizontal="center"/>
    </xf>
    <xf numFmtId="165" fontId="26" fillId="13" borderId="14" xfId="0" applyNumberFormat="1" applyFont="1" applyFill="1" applyBorder="1" applyAlignment="1">
      <alignment horizontal="center"/>
    </xf>
    <xf numFmtId="165" fontId="19" fillId="13" borderId="19" xfId="0" applyNumberFormat="1" applyFont="1" applyFill="1" applyBorder="1" applyAlignment="1">
      <alignment horizontal="center"/>
    </xf>
    <xf numFmtId="165" fontId="19" fillId="13" borderId="14" xfId="0" applyNumberFormat="1" applyFont="1" applyFill="1" applyBorder="1" applyAlignment="1">
      <alignment horizontal="center"/>
    </xf>
    <xf numFmtId="165" fontId="16" fillId="13" borderId="19" xfId="0" applyNumberFormat="1" applyFont="1" applyFill="1" applyBorder="1" applyAlignment="1">
      <alignment horizontal="center"/>
    </xf>
    <xf numFmtId="165" fontId="16" fillId="13" borderId="14" xfId="0" applyNumberFormat="1" applyFont="1" applyFill="1" applyBorder="1" applyAlignment="1">
      <alignment horizontal="center"/>
    </xf>
    <xf numFmtId="165" fontId="26" fillId="13" borderId="20" xfId="3" applyNumberFormat="1" applyFont="1" applyFill="1" applyBorder="1" applyAlignment="1">
      <alignment horizontal="center"/>
    </xf>
    <xf numFmtId="165" fontId="26" fillId="13" borderId="21" xfId="3" applyNumberFormat="1" applyFont="1" applyFill="1" applyBorder="1" applyAlignment="1">
      <alignment horizontal="center"/>
    </xf>
    <xf numFmtId="165" fontId="19" fillId="13" borderId="20" xfId="3" applyNumberFormat="1" applyFont="1" applyFill="1" applyBorder="1" applyAlignment="1">
      <alignment horizontal="center"/>
    </xf>
    <xf numFmtId="165" fontId="19" fillId="13" borderId="21" xfId="3" applyNumberFormat="1" applyFont="1" applyFill="1" applyBorder="1" applyAlignment="1">
      <alignment horizontal="center"/>
    </xf>
    <xf numFmtId="0" fontId="36" fillId="6" borderId="19" xfId="3" applyFill="1" applyBorder="1" applyAlignment="1">
      <alignment horizontal="center" wrapText="1"/>
    </xf>
    <xf numFmtId="0" fontId="36" fillId="6" borderId="13" xfId="3" applyFill="1" applyBorder="1" applyAlignment="1">
      <alignment horizontal="center" wrapText="1"/>
    </xf>
    <xf numFmtId="0" fontId="16" fillId="6" borderId="40" xfId="3" applyFont="1" applyFill="1" applyBorder="1" applyAlignment="1">
      <alignment horizontal="center"/>
    </xf>
    <xf numFmtId="0" fontId="16" fillId="6" borderId="41" xfId="3" applyFont="1" applyFill="1" applyBorder="1" applyAlignment="1">
      <alignment horizontal="center"/>
    </xf>
    <xf numFmtId="165" fontId="24" fillId="13" borderId="22" xfId="3" applyNumberFormat="1" applyFont="1" applyFill="1" applyBorder="1" applyAlignment="1">
      <alignment horizontal="center"/>
    </xf>
    <xf numFmtId="165" fontId="24" fillId="13" borderId="23" xfId="3" applyNumberFormat="1" applyFont="1" applyFill="1" applyBorder="1" applyAlignment="1">
      <alignment horizontal="center"/>
    </xf>
    <xf numFmtId="165" fontId="16" fillId="13" borderId="50" xfId="3" applyNumberFormat="1" applyFont="1" applyFill="1" applyBorder="1" applyAlignment="1">
      <alignment horizontal="center"/>
    </xf>
    <xf numFmtId="165" fontId="16" fillId="13" borderId="53" xfId="3" applyNumberFormat="1" applyFont="1" applyFill="1" applyBorder="1" applyAlignment="1">
      <alignment horizontal="center"/>
    </xf>
    <xf numFmtId="165" fontId="25" fillId="13" borderId="50" xfId="3" applyNumberFormat="1" applyFont="1" applyFill="1" applyBorder="1" applyAlignment="1">
      <alignment horizontal="center"/>
    </xf>
    <xf numFmtId="165" fontId="25" fillId="13" borderId="53" xfId="3" applyNumberFormat="1" applyFont="1" applyFill="1" applyBorder="1" applyAlignment="1">
      <alignment horizontal="center"/>
    </xf>
    <xf numFmtId="165" fontId="26" fillId="13" borderId="20" xfId="0" applyNumberFormat="1" applyFont="1" applyFill="1" applyBorder="1" applyAlignment="1">
      <alignment horizontal="center"/>
    </xf>
    <xf numFmtId="165" fontId="26" fillId="13" borderId="21" xfId="0" applyNumberFormat="1" applyFont="1" applyFill="1" applyBorder="1" applyAlignment="1">
      <alignment horizontal="center"/>
    </xf>
    <xf numFmtId="165" fontId="19" fillId="13" borderId="20" xfId="0" applyNumberFormat="1" applyFont="1" applyFill="1" applyBorder="1" applyAlignment="1">
      <alignment horizontal="center"/>
    </xf>
    <xf numFmtId="165" fontId="19" fillId="13" borderId="21" xfId="0" applyNumberFormat="1" applyFont="1" applyFill="1" applyBorder="1" applyAlignment="1">
      <alignment horizontal="center"/>
    </xf>
    <xf numFmtId="0" fontId="0" fillId="6" borderId="19" xfId="0" applyFill="1" applyBorder="1" applyAlignment="1">
      <alignment horizontal="center" wrapText="1"/>
    </xf>
    <xf numFmtId="0" fontId="0" fillId="6" borderId="13" xfId="0" applyFill="1" applyBorder="1" applyAlignment="1">
      <alignment horizontal="center" wrapText="1"/>
    </xf>
    <xf numFmtId="0" fontId="16" fillId="6" borderId="40" xfId="0" applyFont="1" applyFill="1" applyBorder="1" applyAlignment="1">
      <alignment horizontal="center"/>
    </xf>
    <xf numFmtId="0" fontId="16" fillId="6" borderId="41" xfId="0" applyFont="1" applyFill="1" applyBorder="1" applyAlignment="1">
      <alignment horizontal="center"/>
    </xf>
    <xf numFmtId="165" fontId="24" fillId="13" borderId="22" xfId="0" applyNumberFormat="1" applyFont="1" applyFill="1" applyBorder="1" applyAlignment="1">
      <alignment horizontal="center"/>
    </xf>
    <xf numFmtId="165" fontId="24" fillId="13" borderId="23" xfId="0" applyNumberFormat="1" applyFont="1" applyFill="1" applyBorder="1" applyAlignment="1">
      <alignment horizontal="center"/>
    </xf>
    <xf numFmtId="165" fontId="16" fillId="13" borderId="50" xfId="0" applyNumberFormat="1" applyFont="1" applyFill="1" applyBorder="1" applyAlignment="1">
      <alignment horizontal="center"/>
    </xf>
    <xf numFmtId="165" fontId="16" fillId="13" borderId="53" xfId="0" applyNumberFormat="1" applyFont="1" applyFill="1" applyBorder="1" applyAlignment="1">
      <alignment horizontal="center"/>
    </xf>
    <xf numFmtId="165" fontId="25" fillId="13" borderId="50" xfId="0" applyNumberFormat="1" applyFont="1" applyFill="1" applyBorder="1" applyAlignment="1">
      <alignment horizontal="center"/>
    </xf>
    <xf numFmtId="165" fontId="25" fillId="13" borderId="53" xfId="0" applyNumberFormat="1" applyFont="1" applyFill="1" applyBorder="1" applyAlignment="1">
      <alignment horizontal="center"/>
    </xf>
    <xf numFmtId="165" fontId="26" fillId="13" borderId="20" xfId="2" applyNumberFormat="1" applyFont="1" applyFill="1" applyBorder="1" applyAlignment="1">
      <alignment horizontal="center"/>
    </xf>
    <xf numFmtId="165" fontId="26" fillId="13" borderId="21" xfId="2" applyNumberFormat="1" applyFont="1" applyFill="1" applyBorder="1" applyAlignment="1">
      <alignment horizontal="center"/>
    </xf>
    <xf numFmtId="165" fontId="19" fillId="13" borderId="20" xfId="2" applyNumberFormat="1" applyFont="1" applyFill="1" applyBorder="1" applyAlignment="1">
      <alignment horizontal="center"/>
    </xf>
    <xf numFmtId="165" fontId="19" fillId="13" borderId="21" xfId="2" applyNumberFormat="1" applyFont="1" applyFill="1" applyBorder="1" applyAlignment="1">
      <alignment horizontal="center"/>
    </xf>
    <xf numFmtId="0" fontId="17" fillId="6" borderId="19" xfId="2" applyFill="1" applyBorder="1" applyAlignment="1">
      <alignment horizontal="center" wrapText="1"/>
    </xf>
    <xf numFmtId="0" fontId="17" fillId="6" borderId="13" xfId="2" applyFill="1" applyBorder="1" applyAlignment="1">
      <alignment horizontal="center" wrapText="1"/>
    </xf>
    <xf numFmtId="0" fontId="16" fillId="6" borderId="40" xfId="2" applyFont="1" applyFill="1" applyBorder="1" applyAlignment="1">
      <alignment horizontal="center"/>
    </xf>
    <xf numFmtId="0" fontId="16" fillId="6" borderId="41" xfId="2" applyFont="1" applyFill="1" applyBorder="1" applyAlignment="1">
      <alignment horizontal="center"/>
    </xf>
    <xf numFmtId="165" fontId="24" fillId="13" borderId="22" xfId="2" applyNumberFormat="1" applyFont="1" applyFill="1" applyBorder="1" applyAlignment="1">
      <alignment horizontal="center"/>
    </xf>
    <xf numFmtId="165" fontId="24" fillId="13" borderId="23" xfId="2" applyNumberFormat="1" applyFont="1" applyFill="1" applyBorder="1" applyAlignment="1">
      <alignment horizontal="center"/>
    </xf>
    <xf numFmtId="165" fontId="16" fillId="13" borderId="50" xfId="2" applyNumberFormat="1" applyFont="1" applyFill="1" applyBorder="1" applyAlignment="1">
      <alignment horizontal="center"/>
    </xf>
    <xf numFmtId="165" fontId="16" fillId="13" borderId="53" xfId="2" applyNumberFormat="1" applyFont="1" applyFill="1" applyBorder="1" applyAlignment="1">
      <alignment horizontal="center"/>
    </xf>
    <xf numFmtId="165" fontId="25" fillId="13" borderId="50" xfId="2" applyNumberFormat="1" applyFont="1" applyFill="1" applyBorder="1" applyAlignment="1">
      <alignment horizontal="center"/>
    </xf>
    <xf numFmtId="165" fontId="25" fillId="13" borderId="53" xfId="2" applyNumberFormat="1" applyFont="1" applyFill="1" applyBorder="1" applyAlignment="1">
      <alignment horizontal="center"/>
    </xf>
    <xf numFmtId="0" fontId="0" fillId="0" borderId="19" xfId="0" applyBorder="1" applyAlignment="1">
      <alignment horizontal="center"/>
    </xf>
    <xf numFmtId="0" fontId="0" fillId="0" borderId="13" xfId="0" applyBorder="1" applyAlignment="1">
      <alignment horizontal="center"/>
    </xf>
    <xf numFmtId="0" fontId="0" fillId="0" borderId="14" xfId="0" applyBorder="1" applyAlignment="1">
      <alignment horizontal="center"/>
    </xf>
  </cellXfs>
  <cellStyles count="46">
    <cellStyle name="20% - Accent1 2" xfId="4" xr:uid="{12494E13-C58B-403A-B48F-D0C9876244DF}"/>
    <cellStyle name="20% - Accent2 2" xfId="5" xr:uid="{86788AA4-FB62-4153-A530-7067FD3C5A56}"/>
    <cellStyle name="20% - Accent3 2" xfId="6" xr:uid="{57DDC280-335E-49BE-8FFC-CE52DB61FE5B}"/>
    <cellStyle name="20% - Accent4 2" xfId="7" xr:uid="{7EA954E4-C501-45AB-98AE-F3717B85AF7E}"/>
    <cellStyle name="20% - Accent5 2" xfId="8" xr:uid="{B7F93FC7-D540-4FD6-B113-BE9E4D8B19A5}"/>
    <cellStyle name="20% - Accent6 2" xfId="9" xr:uid="{C46F8508-B6DE-4DA2-81A7-927685F95431}"/>
    <cellStyle name="40% - Accent1 2" xfId="10" xr:uid="{83498C98-E9D8-43BF-A6F3-6A61B526A3F3}"/>
    <cellStyle name="40% - Accent2 2" xfId="11" xr:uid="{AD85AD6E-43AB-458E-BA80-656DEEE11A23}"/>
    <cellStyle name="40% - Accent3 2" xfId="12" xr:uid="{CF201A86-6021-4C0A-BB04-1B8482FBB965}"/>
    <cellStyle name="40% - Accent4 2" xfId="13" xr:uid="{462A23DA-173A-45A0-B5AD-6B582A2C14FF}"/>
    <cellStyle name="40% - Accent5 2" xfId="14" xr:uid="{CF0B53A5-65A1-4D72-B0B6-40F9DF5C2B1D}"/>
    <cellStyle name="40% - Accent6 2" xfId="15" xr:uid="{813FC0D7-D79B-433C-96DD-AE37F2D8FB78}"/>
    <cellStyle name="60% - Accent1 2" xfId="16" xr:uid="{CFDF1C7D-DF50-4535-AD0F-146FD720C122}"/>
    <cellStyle name="60% - Accent2 2" xfId="17" xr:uid="{3342CD1C-DFDF-426A-8D6D-7C9720745601}"/>
    <cellStyle name="60% - Accent3 2" xfId="18" xr:uid="{56CF4B70-5146-4ADC-8E8D-8BE67A6BBDC5}"/>
    <cellStyle name="60% - Accent4 2" xfId="19" xr:uid="{7CAC811B-24FE-4A0F-8284-439D96A0C39C}"/>
    <cellStyle name="60% - Accent5 2" xfId="20" xr:uid="{4262C1C0-9C9A-4BDA-AD04-7911F995F0A4}"/>
    <cellStyle name="60% - Accent6 2" xfId="21" xr:uid="{046A20F3-317A-4DA2-8222-1C4114968F6B}"/>
    <cellStyle name="Accent1 2" xfId="22" xr:uid="{4B419399-5CA5-4A31-9F37-DC24278692F3}"/>
    <cellStyle name="Accent2 2" xfId="23" xr:uid="{FC6971E0-925C-4953-8381-E3BF7F6B234A}"/>
    <cellStyle name="Accent3 2" xfId="24" xr:uid="{3FC3E0B4-0B05-46D3-8EFD-B14ABE95A3CA}"/>
    <cellStyle name="Accent4 2" xfId="25" xr:uid="{7B2F5941-1DBB-49BF-A6E3-86C44799568E}"/>
    <cellStyle name="Accent5 2" xfId="26" xr:uid="{86D284C8-BE0F-43D6-A5D1-790968E03734}"/>
    <cellStyle name="Accent6 2" xfId="27" xr:uid="{FAACE068-AE9D-447B-A0C8-DA8C16FAC47D}"/>
    <cellStyle name="Bad 2" xfId="28" xr:uid="{893F6117-876B-4F66-8E96-A4A9DB5A0E9C}"/>
    <cellStyle name="Calculation 2" xfId="29" xr:uid="{1A7D86E0-A3D5-43FC-A518-4A2151574A0E}"/>
    <cellStyle name="Check Cell 2" xfId="30" xr:uid="{356B56B2-5F63-4307-9F7E-86947D051FA9}"/>
    <cellStyle name="Currency" xfId="45" builtinId="4"/>
    <cellStyle name="Explanatory Text 2" xfId="31" xr:uid="{CC066286-14A9-40DC-9FFF-BD2E749EBBFF}"/>
    <cellStyle name="Good 2" xfId="32" xr:uid="{8451E01E-CE70-4D1C-82D9-B431AF0150A4}"/>
    <cellStyle name="Heading 1 2" xfId="33" xr:uid="{A9FD3C9F-2A38-4D3B-AED1-1B29841483D1}"/>
    <cellStyle name="Heading 2 2" xfId="34" xr:uid="{0B8822D7-8DC0-4072-90A9-CFEDDB7863E3}"/>
    <cellStyle name="Heading 3 2" xfId="35" xr:uid="{692A04B4-FC8C-454E-865A-22CB452DFA95}"/>
    <cellStyle name="Heading 4 2" xfId="36" xr:uid="{E7CDE46A-CA03-42B7-AADA-26E1DCEB99AD}"/>
    <cellStyle name="Hyperlink" xfId="1" builtinId="8"/>
    <cellStyle name="Input 2" xfId="37" xr:uid="{FA6A6683-859A-4C9F-98D5-82E698EDBCB4}"/>
    <cellStyle name="Linked Cell 2" xfId="38" xr:uid="{3B3AEA8B-6101-4472-84F2-27B02A5E366A}"/>
    <cellStyle name="Neutral 2" xfId="39" xr:uid="{B6681913-CAA8-495C-9D2A-C29FEDFA8138}"/>
    <cellStyle name="Normal" xfId="0" builtinId="0"/>
    <cellStyle name="Normal 2" xfId="2" xr:uid="{FE30FF68-3CFF-4062-833B-1E4CA4687572}"/>
    <cellStyle name="Normal 3" xfId="3" xr:uid="{69258074-C49C-4950-9F85-83292DB49862}"/>
    <cellStyle name="Note 2" xfId="40" xr:uid="{0F0BE237-0493-4B57-8B5A-C970A602A732}"/>
    <cellStyle name="Output 2" xfId="41" xr:uid="{3E36B023-092C-4774-9111-0154A00D8473}"/>
    <cellStyle name="Title 2" xfId="42" xr:uid="{299E30CF-7152-49B5-A147-AF9C5995B027}"/>
    <cellStyle name="Total 2" xfId="43" xr:uid="{D95308BA-3A12-4CFB-99FF-1A4258DBF7F9}"/>
    <cellStyle name="Warning Text 2" xfId="44" xr:uid="{32B68E4A-3208-4961-95C5-BD265B0A8DE1}"/>
  </cellStyles>
  <dxfs count="1">
    <dxf>
      <font>
        <strike val="0"/>
        <color theme="0"/>
      </font>
      <fill>
        <patternFill patternType="none">
          <bgColor auto="1"/>
        </patternFill>
      </fill>
      <border>
        <left/>
        <right/>
        <bottom/>
        <vertical/>
        <horizontal/>
      </border>
    </dxf>
  </dxfs>
  <tableStyles count="0" defaultTableStyle="TableStyleMedium2" defaultPivotStyle="PivotStyleLight16"/>
  <colors>
    <mruColors>
      <color rgb="FFCCFFCC"/>
      <color rgb="FFCCFFFF"/>
      <color rgb="FFFF00FF"/>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3</xdr:row>
      <xdr:rowOff>114300</xdr:rowOff>
    </xdr:from>
    <xdr:to>
      <xdr:col>17</xdr:col>
      <xdr:colOff>533400</xdr:colOff>
      <xdr:row>38</xdr:row>
      <xdr:rowOff>152400</xdr:rowOff>
    </xdr:to>
    <xdr:pic>
      <xdr:nvPicPr>
        <xdr:cNvPr id="2" name="Picture 4">
          <a:extLst>
            <a:ext uri="{FF2B5EF4-FFF2-40B4-BE49-F238E27FC236}">
              <a16:creationId xmlns:a16="http://schemas.microsoft.com/office/drawing/2014/main" id="{512216A6-F17F-461F-803A-E911483B7E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685800"/>
          <a:ext cx="10868025" cy="6705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152399</xdr:colOff>
      <xdr:row>11</xdr:row>
      <xdr:rowOff>123825</xdr:rowOff>
    </xdr:from>
    <xdr:to>
      <xdr:col>4</xdr:col>
      <xdr:colOff>190500</xdr:colOff>
      <xdr:row>22</xdr:row>
      <xdr:rowOff>66675</xdr:rowOff>
    </xdr:to>
    <xdr:sp macro="" textlink="">
      <xdr:nvSpPr>
        <xdr:cNvPr id="2" name="Text Box 53">
          <a:extLst>
            <a:ext uri="{FF2B5EF4-FFF2-40B4-BE49-F238E27FC236}">
              <a16:creationId xmlns:a16="http://schemas.microsoft.com/office/drawing/2014/main" id="{EB05E6D5-3CC1-496D-96D4-E44F2A40A275}"/>
            </a:ext>
          </a:extLst>
        </xdr:cNvPr>
        <xdr:cNvSpPr txBox="1">
          <a:spLocks noChangeArrowheads="1"/>
        </xdr:cNvSpPr>
      </xdr:nvSpPr>
      <xdr:spPr bwMode="auto">
        <a:xfrm>
          <a:off x="1967752" y="2252943"/>
          <a:ext cx="643219" cy="2374526"/>
        </a:xfrm>
        <a:prstGeom prst="rect">
          <a:avLst/>
        </a:prstGeom>
        <a:solidFill>
          <a:srgbClr val="FF6600"/>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Next Gen</a:t>
          </a:r>
        </a:p>
        <a:p>
          <a:pPr algn="l" rtl="0">
            <a:defRPr sz="1000"/>
          </a:pPr>
          <a:r>
            <a:rPr lang="en-US" sz="1000" b="0" i="0" strike="noStrike">
              <a:solidFill>
                <a:srgbClr val="000000"/>
              </a:solidFill>
              <a:latin typeface="Arial"/>
              <a:cs typeface="Arial"/>
            </a:rPr>
            <a:t>PON</a:t>
          </a:r>
          <a:r>
            <a:rPr lang="en-US" sz="1000" b="0" i="0" strike="noStrike" baseline="0">
              <a:solidFill>
                <a:srgbClr val="000000"/>
              </a:solidFill>
              <a:latin typeface="Arial"/>
              <a:cs typeface="Arial"/>
            </a:rPr>
            <a:t> System</a:t>
          </a: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13</xdr:col>
      <xdr:colOff>289715</xdr:colOff>
      <xdr:row>10</xdr:row>
      <xdr:rowOff>38100</xdr:rowOff>
    </xdr:from>
    <xdr:to>
      <xdr:col>14</xdr:col>
      <xdr:colOff>50010</xdr:colOff>
      <xdr:row>15</xdr:row>
      <xdr:rowOff>23813</xdr:rowOff>
    </xdr:to>
    <xdr:sp macro="" textlink="">
      <xdr:nvSpPr>
        <xdr:cNvPr id="3" name="Rectangle 183">
          <a:extLst>
            <a:ext uri="{FF2B5EF4-FFF2-40B4-BE49-F238E27FC236}">
              <a16:creationId xmlns:a16="http://schemas.microsoft.com/office/drawing/2014/main" id="{A2DD80EB-0F74-46F4-898F-14D8B2DC8F73}"/>
            </a:ext>
          </a:extLst>
        </xdr:cNvPr>
        <xdr:cNvSpPr>
          <a:spLocks noChangeArrowheads="1"/>
        </xdr:cNvSpPr>
      </xdr:nvSpPr>
      <xdr:spPr bwMode="auto">
        <a:xfrm>
          <a:off x="8214515" y="1771650"/>
          <a:ext cx="369895" cy="957263"/>
        </a:xfrm>
        <a:prstGeom prst="rect">
          <a:avLst/>
        </a:prstGeom>
        <a:solidFill>
          <a:srgbClr val="00B0F0"/>
        </a:solidFill>
        <a:ln w="9525">
          <a:solidFill>
            <a:srgbClr val="000000"/>
          </a:solidFill>
          <a:miter lim="800000"/>
          <a:headEnd/>
          <a:tailEnd/>
        </a:ln>
      </xdr:spPr>
    </xdr:sp>
    <xdr:clientData/>
  </xdr:twoCellAnchor>
  <xdr:twoCellAnchor>
    <xdr:from>
      <xdr:col>9</xdr:col>
      <xdr:colOff>600075</xdr:colOff>
      <xdr:row>10</xdr:row>
      <xdr:rowOff>66674</xdr:rowOff>
    </xdr:from>
    <xdr:to>
      <xdr:col>11</xdr:col>
      <xdr:colOff>419100</xdr:colOff>
      <xdr:row>15</xdr:row>
      <xdr:rowOff>47624</xdr:rowOff>
    </xdr:to>
    <xdr:sp macro="" textlink="">
      <xdr:nvSpPr>
        <xdr:cNvPr id="4" name="Rectangle 177">
          <a:extLst>
            <a:ext uri="{FF2B5EF4-FFF2-40B4-BE49-F238E27FC236}">
              <a16:creationId xmlns:a16="http://schemas.microsoft.com/office/drawing/2014/main" id="{12F77133-4CA6-408D-9239-B953C4062158}"/>
            </a:ext>
          </a:extLst>
        </xdr:cNvPr>
        <xdr:cNvSpPr>
          <a:spLocks noChangeArrowheads="1"/>
        </xdr:cNvSpPr>
      </xdr:nvSpPr>
      <xdr:spPr bwMode="auto">
        <a:xfrm>
          <a:off x="6086475" y="1800224"/>
          <a:ext cx="1038225" cy="952500"/>
        </a:xfrm>
        <a:prstGeom prst="rect">
          <a:avLst/>
        </a:prstGeom>
        <a:solidFill>
          <a:srgbClr val="CCFFFF"/>
        </a:solidFill>
        <a:ln w="9525">
          <a:solidFill>
            <a:srgbClr val="000000"/>
          </a:solidFill>
          <a:miter lim="800000"/>
          <a:headEnd/>
          <a:tailEnd/>
        </a:ln>
      </xdr:spPr>
    </xdr:sp>
    <xdr:clientData/>
  </xdr:twoCellAnchor>
  <xdr:twoCellAnchor>
    <xdr:from>
      <xdr:col>8</xdr:col>
      <xdr:colOff>161925</xdr:colOff>
      <xdr:row>11</xdr:row>
      <xdr:rowOff>85725</xdr:rowOff>
    </xdr:from>
    <xdr:to>
      <xdr:col>8</xdr:col>
      <xdr:colOff>485775</xdr:colOff>
      <xdr:row>13</xdr:row>
      <xdr:rowOff>85725</xdr:rowOff>
    </xdr:to>
    <xdr:sp macro="" textlink="">
      <xdr:nvSpPr>
        <xdr:cNvPr id="5" name="Oval 172">
          <a:extLst>
            <a:ext uri="{FF2B5EF4-FFF2-40B4-BE49-F238E27FC236}">
              <a16:creationId xmlns:a16="http://schemas.microsoft.com/office/drawing/2014/main" id="{C5B8A257-56D7-4032-BBDC-A074643B170A}"/>
            </a:ext>
          </a:extLst>
        </xdr:cNvPr>
        <xdr:cNvSpPr>
          <a:spLocks noChangeArrowheads="1"/>
        </xdr:cNvSpPr>
      </xdr:nvSpPr>
      <xdr:spPr bwMode="auto">
        <a:xfrm>
          <a:off x="5038725" y="1981200"/>
          <a:ext cx="323850" cy="485775"/>
        </a:xfrm>
        <a:prstGeom prst="ellipse">
          <a:avLst/>
        </a:prstGeom>
        <a:solidFill>
          <a:srgbClr val="FFFFFF"/>
        </a:solidFill>
        <a:ln w="9525">
          <a:solidFill>
            <a:srgbClr val="000000"/>
          </a:solidFill>
          <a:round/>
          <a:headEnd/>
          <a:tailEnd/>
        </a:ln>
      </xdr:spPr>
    </xdr:sp>
    <xdr:clientData/>
  </xdr:twoCellAnchor>
  <xdr:twoCellAnchor>
    <xdr:from>
      <xdr:col>7</xdr:col>
      <xdr:colOff>123825</xdr:colOff>
      <xdr:row>11</xdr:row>
      <xdr:rowOff>114300</xdr:rowOff>
    </xdr:from>
    <xdr:to>
      <xdr:col>7</xdr:col>
      <xdr:colOff>447675</xdr:colOff>
      <xdr:row>13</xdr:row>
      <xdr:rowOff>114300</xdr:rowOff>
    </xdr:to>
    <xdr:sp macro="" textlink="">
      <xdr:nvSpPr>
        <xdr:cNvPr id="6" name="Oval 168">
          <a:extLst>
            <a:ext uri="{FF2B5EF4-FFF2-40B4-BE49-F238E27FC236}">
              <a16:creationId xmlns:a16="http://schemas.microsoft.com/office/drawing/2014/main" id="{B7ACB6D2-91B1-4CC3-92CF-1F671103CE86}"/>
            </a:ext>
          </a:extLst>
        </xdr:cNvPr>
        <xdr:cNvSpPr>
          <a:spLocks noChangeArrowheads="1"/>
        </xdr:cNvSpPr>
      </xdr:nvSpPr>
      <xdr:spPr bwMode="auto">
        <a:xfrm>
          <a:off x="4391025" y="2009775"/>
          <a:ext cx="323850" cy="485775"/>
        </a:xfrm>
        <a:prstGeom prst="ellipse">
          <a:avLst/>
        </a:prstGeom>
        <a:solidFill>
          <a:srgbClr val="FFFFFF"/>
        </a:solidFill>
        <a:ln w="9525">
          <a:solidFill>
            <a:srgbClr val="000000"/>
          </a:solidFill>
          <a:round/>
          <a:headEnd/>
          <a:tailEnd/>
        </a:ln>
      </xdr:spPr>
    </xdr:sp>
    <xdr:clientData/>
  </xdr:twoCellAnchor>
  <xdr:twoCellAnchor>
    <xdr:from>
      <xdr:col>5</xdr:col>
      <xdr:colOff>381000</xdr:colOff>
      <xdr:row>12</xdr:row>
      <xdr:rowOff>114300</xdr:rowOff>
    </xdr:from>
    <xdr:to>
      <xdr:col>15</xdr:col>
      <xdr:colOff>9525</xdr:colOff>
      <xdr:row>12</xdr:row>
      <xdr:rowOff>114300</xdr:rowOff>
    </xdr:to>
    <xdr:sp macro="" textlink="">
      <xdr:nvSpPr>
        <xdr:cNvPr id="7" name="Line 1">
          <a:extLst>
            <a:ext uri="{FF2B5EF4-FFF2-40B4-BE49-F238E27FC236}">
              <a16:creationId xmlns:a16="http://schemas.microsoft.com/office/drawing/2014/main" id="{24C66C25-025C-4A6F-AED8-36EC08F9191A}"/>
            </a:ext>
          </a:extLst>
        </xdr:cNvPr>
        <xdr:cNvSpPr>
          <a:spLocks noChangeShapeType="1"/>
        </xdr:cNvSpPr>
      </xdr:nvSpPr>
      <xdr:spPr bwMode="auto">
        <a:xfrm flipH="1">
          <a:off x="3429000" y="2171700"/>
          <a:ext cx="5724525" cy="0"/>
        </a:xfrm>
        <a:prstGeom prst="line">
          <a:avLst/>
        </a:prstGeom>
        <a:noFill/>
        <a:ln w="9525">
          <a:solidFill>
            <a:srgbClr val="000000"/>
          </a:solidFill>
          <a:round/>
          <a:headEnd/>
          <a:tailEnd/>
        </a:ln>
      </xdr:spPr>
    </xdr:sp>
    <xdr:clientData/>
  </xdr:twoCellAnchor>
  <xdr:twoCellAnchor>
    <xdr:from>
      <xdr:col>15</xdr:col>
      <xdr:colOff>28574</xdr:colOff>
      <xdr:row>11</xdr:row>
      <xdr:rowOff>0</xdr:rowOff>
    </xdr:from>
    <xdr:to>
      <xdr:col>17</xdr:col>
      <xdr:colOff>457199</xdr:colOff>
      <xdr:row>17</xdr:row>
      <xdr:rowOff>152400</xdr:rowOff>
    </xdr:to>
    <xdr:sp macro="" textlink="">
      <xdr:nvSpPr>
        <xdr:cNvPr id="8" name="Rectangle 4">
          <a:extLst>
            <a:ext uri="{FF2B5EF4-FFF2-40B4-BE49-F238E27FC236}">
              <a16:creationId xmlns:a16="http://schemas.microsoft.com/office/drawing/2014/main" id="{69282AF7-B582-43FE-A8E4-E6C2F91993EB}"/>
            </a:ext>
          </a:extLst>
        </xdr:cNvPr>
        <xdr:cNvSpPr>
          <a:spLocks noChangeArrowheads="1"/>
        </xdr:cNvSpPr>
      </xdr:nvSpPr>
      <xdr:spPr bwMode="auto">
        <a:xfrm>
          <a:off x="9172574" y="1895475"/>
          <a:ext cx="1647825" cy="1285875"/>
        </a:xfrm>
        <a:prstGeom prst="rect">
          <a:avLst/>
        </a:prstGeom>
        <a:solidFill>
          <a:srgbClr val="EAEAEA">
            <a:alpha val="50195"/>
          </a:srgbClr>
        </a:solidFill>
        <a:ln w="22225">
          <a:solidFill>
            <a:srgbClr val="000000"/>
          </a:solidFill>
          <a:prstDash val="sysDot"/>
          <a:miter lim="800000"/>
          <a:headEnd/>
          <a:tailEnd/>
        </a:ln>
      </xdr:spPr>
    </xdr:sp>
    <xdr:clientData/>
  </xdr:twoCellAnchor>
  <xdr:twoCellAnchor>
    <xdr:from>
      <xdr:col>1</xdr:col>
      <xdr:colOff>78442</xdr:colOff>
      <xdr:row>11</xdr:row>
      <xdr:rowOff>123825</xdr:rowOff>
    </xdr:from>
    <xdr:to>
      <xdr:col>2</xdr:col>
      <xdr:colOff>152401</xdr:colOff>
      <xdr:row>22</xdr:row>
      <xdr:rowOff>66675</xdr:rowOff>
    </xdr:to>
    <xdr:sp macro="" textlink="">
      <xdr:nvSpPr>
        <xdr:cNvPr id="9" name="Text Box 15">
          <a:extLst>
            <a:ext uri="{FF2B5EF4-FFF2-40B4-BE49-F238E27FC236}">
              <a16:creationId xmlns:a16="http://schemas.microsoft.com/office/drawing/2014/main" id="{52AAA675-ECF9-4D37-9548-F2833A52FE7E}"/>
            </a:ext>
          </a:extLst>
        </xdr:cNvPr>
        <xdr:cNvSpPr txBox="1">
          <a:spLocks noChangeArrowheads="1"/>
        </xdr:cNvSpPr>
      </xdr:nvSpPr>
      <xdr:spPr bwMode="auto">
        <a:xfrm>
          <a:off x="683560" y="2252943"/>
          <a:ext cx="679076" cy="2374526"/>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PON-OLT</a:t>
          </a:r>
        </a:p>
        <a:p>
          <a:pPr algn="l" rtl="0">
            <a:defRPr sz="1000"/>
          </a:pPr>
          <a:r>
            <a:rPr lang="en-US" sz="1000" b="0" i="0" strike="noStrike">
              <a:solidFill>
                <a:srgbClr val="000000"/>
              </a:solidFill>
              <a:latin typeface="Arial"/>
              <a:cs typeface="Arial"/>
            </a:rPr>
            <a:t>System</a:t>
          </a: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457200</xdr:colOff>
      <xdr:row>12</xdr:row>
      <xdr:rowOff>38100</xdr:rowOff>
    </xdr:from>
    <xdr:to>
      <xdr:col>1</xdr:col>
      <xdr:colOff>457200</xdr:colOff>
      <xdr:row>14</xdr:row>
      <xdr:rowOff>19050</xdr:rowOff>
    </xdr:to>
    <xdr:sp macro="" textlink="">
      <xdr:nvSpPr>
        <xdr:cNvPr id="10" name="Line 16">
          <a:extLst>
            <a:ext uri="{FF2B5EF4-FFF2-40B4-BE49-F238E27FC236}">
              <a16:creationId xmlns:a16="http://schemas.microsoft.com/office/drawing/2014/main" id="{F2A75923-F212-4BB4-9312-7D75FAC11C10}"/>
            </a:ext>
          </a:extLst>
        </xdr:cNvPr>
        <xdr:cNvSpPr>
          <a:spLocks noChangeShapeType="1"/>
        </xdr:cNvSpPr>
      </xdr:nvSpPr>
      <xdr:spPr bwMode="auto">
        <a:xfrm>
          <a:off x="1066800" y="2095500"/>
          <a:ext cx="0" cy="466725"/>
        </a:xfrm>
        <a:prstGeom prst="line">
          <a:avLst/>
        </a:prstGeom>
        <a:noFill/>
        <a:ln w="38100" cmpd="dbl">
          <a:solidFill>
            <a:srgbClr val="000000"/>
          </a:solidFill>
          <a:round/>
          <a:headEnd/>
          <a:tailEnd/>
        </a:ln>
      </xdr:spPr>
    </xdr:sp>
    <xdr:clientData/>
  </xdr:twoCellAnchor>
  <xdr:oneCellAnchor>
    <xdr:from>
      <xdr:col>1</xdr:col>
      <xdr:colOff>381000</xdr:colOff>
      <xdr:row>14</xdr:row>
      <xdr:rowOff>0</xdr:rowOff>
    </xdr:from>
    <xdr:ext cx="143790" cy="356885"/>
    <xdr:sp macro="" textlink="">
      <xdr:nvSpPr>
        <xdr:cNvPr id="11" name="Rectangle 17">
          <a:extLst>
            <a:ext uri="{FF2B5EF4-FFF2-40B4-BE49-F238E27FC236}">
              <a16:creationId xmlns:a16="http://schemas.microsoft.com/office/drawing/2014/main" id="{5D7EE6F3-47CE-4025-B7C8-3670AAF592F5}"/>
            </a:ext>
          </a:extLst>
        </xdr:cNvPr>
        <xdr:cNvSpPr>
          <a:spLocks noChangeArrowheads="1"/>
        </xdr:cNvSpPr>
      </xdr:nvSpPr>
      <xdr:spPr bwMode="auto">
        <a:xfrm>
          <a:off x="990600" y="2543175"/>
          <a:ext cx="143790" cy="356885"/>
        </a:xfrm>
        <a:prstGeom prst="rect">
          <a:avLst/>
        </a:prstGeom>
        <a:noFill/>
        <a:ln w="9525">
          <a:noFill/>
          <a:miter lim="800000"/>
          <a:headEnd/>
          <a:tailEnd/>
        </a:ln>
      </xdr:spPr>
      <xdr:txBody>
        <a:bodyPr wrap="none" lIns="0" tIns="0" rIns="0" bIns="0" anchor="t" upright="1">
          <a:spAutoFit/>
        </a:bodyPr>
        <a:lstStyle/>
        <a:p>
          <a:pPr algn="l" rtl="0">
            <a:defRPr sz="1000"/>
          </a:pPr>
          <a:r>
            <a:rPr lang="en-US" sz="1100" b="0" i="0" strike="noStrike">
              <a:solidFill>
                <a:srgbClr val="000000"/>
              </a:solidFill>
              <a:latin typeface="Arial"/>
              <a:cs typeface="Arial"/>
            </a:rPr>
            <a:t>P1</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oneCellAnchor>
    <xdr:from>
      <xdr:col>1</xdr:col>
      <xdr:colOff>571500</xdr:colOff>
      <xdr:row>14</xdr:row>
      <xdr:rowOff>47625</xdr:rowOff>
    </xdr:from>
    <xdr:ext cx="26738" cy="161748"/>
    <xdr:sp macro="" textlink="">
      <xdr:nvSpPr>
        <xdr:cNvPr id="12" name="Rectangle 18">
          <a:extLst>
            <a:ext uri="{FF2B5EF4-FFF2-40B4-BE49-F238E27FC236}">
              <a16:creationId xmlns:a16="http://schemas.microsoft.com/office/drawing/2014/main" id="{AD3E49E8-7448-46DB-BC24-8AF0CE59CCC5}"/>
            </a:ext>
          </a:extLst>
        </xdr:cNvPr>
        <xdr:cNvSpPr>
          <a:spLocks noChangeArrowheads="1"/>
        </xdr:cNvSpPr>
      </xdr:nvSpPr>
      <xdr:spPr bwMode="auto">
        <a:xfrm>
          <a:off x="1181100" y="2590800"/>
          <a:ext cx="26738" cy="161748"/>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1</xdr:col>
      <xdr:colOff>152400</xdr:colOff>
      <xdr:row>12</xdr:row>
      <xdr:rowOff>38100</xdr:rowOff>
    </xdr:from>
    <xdr:to>
      <xdr:col>1</xdr:col>
      <xdr:colOff>381000</xdr:colOff>
      <xdr:row>13</xdr:row>
      <xdr:rowOff>104775</xdr:rowOff>
    </xdr:to>
    <xdr:sp macro="" textlink="">
      <xdr:nvSpPr>
        <xdr:cNvPr id="13" name="Freeform 19">
          <a:extLst>
            <a:ext uri="{FF2B5EF4-FFF2-40B4-BE49-F238E27FC236}">
              <a16:creationId xmlns:a16="http://schemas.microsoft.com/office/drawing/2014/main" id="{7F6133FF-579B-418C-80BA-20B73C97BFD3}"/>
            </a:ext>
          </a:extLst>
        </xdr:cNvPr>
        <xdr:cNvSpPr>
          <a:spLocks/>
        </xdr:cNvSpPr>
      </xdr:nvSpPr>
      <xdr:spPr bwMode="auto">
        <a:xfrm>
          <a:off x="762000" y="20955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oneCellAnchor>
    <xdr:from>
      <xdr:col>1</xdr:col>
      <xdr:colOff>238125</xdr:colOff>
      <xdr:row>13</xdr:row>
      <xdr:rowOff>104775</xdr:rowOff>
    </xdr:from>
    <xdr:ext cx="127869" cy="328441"/>
    <xdr:sp macro="" textlink="">
      <xdr:nvSpPr>
        <xdr:cNvPr id="14" name="Rectangle 20">
          <a:extLst>
            <a:ext uri="{FF2B5EF4-FFF2-40B4-BE49-F238E27FC236}">
              <a16:creationId xmlns:a16="http://schemas.microsoft.com/office/drawing/2014/main" id="{8F590302-214A-40FB-A444-1BDFB668E0A5}"/>
            </a:ext>
          </a:extLst>
        </xdr:cNvPr>
        <xdr:cNvSpPr>
          <a:spLocks noChangeArrowheads="1"/>
        </xdr:cNvSpPr>
      </xdr:nvSpPr>
      <xdr:spPr bwMode="auto">
        <a:xfrm>
          <a:off x="847725" y="2486025"/>
          <a:ext cx="127869" cy="328441"/>
        </a:xfrm>
        <a:prstGeom prst="rect">
          <a:avLst/>
        </a:prstGeom>
        <a:noFill/>
        <a:ln w="9525">
          <a:noFill/>
          <a:miter lim="800000"/>
          <a:headEnd/>
          <a:tailEnd/>
        </a:ln>
      </xdr:spPr>
      <xdr:txBody>
        <a:bodyPr wrap="none" lIns="0" tIns="0" rIns="0" bIns="0" anchor="t" upright="1">
          <a:spAutoFit/>
        </a:bodyPr>
        <a:lstStyle/>
        <a:p>
          <a:pPr algn="l" rtl="0">
            <a:defRPr sz="1000"/>
          </a:pPr>
          <a:r>
            <a:rPr lang="en-US" sz="900" b="0" i="0" strike="noStrike">
              <a:solidFill>
                <a:srgbClr val="000000"/>
              </a:solidFill>
              <a:latin typeface="Arial"/>
              <a:cs typeface="Arial"/>
            </a:rPr>
            <a:t>C1</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2</xdr:col>
      <xdr:colOff>228600</xdr:colOff>
      <xdr:row>12</xdr:row>
      <xdr:rowOff>114300</xdr:rowOff>
    </xdr:from>
    <xdr:to>
      <xdr:col>2</xdr:col>
      <xdr:colOff>457200</xdr:colOff>
      <xdr:row>14</xdr:row>
      <xdr:rowOff>19050</xdr:rowOff>
    </xdr:to>
    <xdr:sp macro="" textlink="">
      <xdr:nvSpPr>
        <xdr:cNvPr id="15" name="Freeform 21">
          <a:extLst>
            <a:ext uri="{FF2B5EF4-FFF2-40B4-BE49-F238E27FC236}">
              <a16:creationId xmlns:a16="http://schemas.microsoft.com/office/drawing/2014/main" id="{DC49BACE-F11D-457B-9EA8-4444358B7172}"/>
            </a:ext>
          </a:extLst>
        </xdr:cNvPr>
        <xdr:cNvSpPr>
          <a:spLocks/>
        </xdr:cNvSpPr>
      </xdr:nvSpPr>
      <xdr:spPr bwMode="auto">
        <a:xfrm>
          <a:off x="1447800" y="21717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CCFF"/>
        </a:solidFill>
        <a:ln w="9525">
          <a:solidFill>
            <a:srgbClr val="000000"/>
          </a:solidFill>
          <a:round/>
          <a:headEnd/>
          <a:tailEnd/>
        </a:ln>
      </xdr:spPr>
    </xdr:sp>
    <xdr:clientData/>
  </xdr:twoCellAnchor>
  <xdr:twoCellAnchor>
    <xdr:from>
      <xdr:col>11</xdr:col>
      <xdr:colOff>0</xdr:colOff>
      <xdr:row>13</xdr:row>
      <xdr:rowOff>104775</xdr:rowOff>
    </xdr:from>
    <xdr:to>
      <xdr:col>11</xdr:col>
      <xdr:colOff>304800</xdr:colOff>
      <xdr:row>14</xdr:row>
      <xdr:rowOff>19050</xdr:rowOff>
    </xdr:to>
    <xdr:sp macro="" textlink="">
      <xdr:nvSpPr>
        <xdr:cNvPr id="16" name="Line 22">
          <a:extLst>
            <a:ext uri="{FF2B5EF4-FFF2-40B4-BE49-F238E27FC236}">
              <a16:creationId xmlns:a16="http://schemas.microsoft.com/office/drawing/2014/main" id="{1732A421-D97C-4C1B-AF42-78C9B5C03E68}"/>
            </a:ext>
          </a:extLst>
        </xdr:cNvPr>
        <xdr:cNvSpPr>
          <a:spLocks noChangeShapeType="1"/>
        </xdr:cNvSpPr>
      </xdr:nvSpPr>
      <xdr:spPr bwMode="auto">
        <a:xfrm>
          <a:off x="6705600" y="2486025"/>
          <a:ext cx="304800" cy="76200"/>
        </a:xfrm>
        <a:prstGeom prst="line">
          <a:avLst/>
        </a:prstGeom>
        <a:noFill/>
        <a:ln w="12700">
          <a:solidFill>
            <a:srgbClr val="000000"/>
          </a:solidFill>
          <a:round/>
          <a:headEnd/>
          <a:tailEnd/>
        </a:ln>
      </xdr:spPr>
    </xdr:sp>
    <xdr:clientData/>
  </xdr:twoCellAnchor>
  <xdr:twoCellAnchor>
    <xdr:from>
      <xdr:col>15</xdr:col>
      <xdr:colOff>0</xdr:colOff>
      <xdr:row>11</xdr:row>
      <xdr:rowOff>47625</xdr:rowOff>
    </xdr:from>
    <xdr:to>
      <xdr:col>15</xdr:col>
      <xdr:colOff>0</xdr:colOff>
      <xdr:row>13</xdr:row>
      <xdr:rowOff>104775</xdr:rowOff>
    </xdr:to>
    <xdr:sp macro="" textlink="">
      <xdr:nvSpPr>
        <xdr:cNvPr id="17" name="Line 24">
          <a:extLst>
            <a:ext uri="{FF2B5EF4-FFF2-40B4-BE49-F238E27FC236}">
              <a16:creationId xmlns:a16="http://schemas.microsoft.com/office/drawing/2014/main" id="{FC3EF468-E658-4BA5-834A-2C9D95050D94}"/>
            </a:ext>
          </a:extLst>
        </xdr:cNvPr>
        <xdr:cNvSpPr>
          <a:spLocks noChangeShapeType="1"/>
        </xdr:cNvSpPr>
      </xdr:nvSpPr>
      <xdr:spPr bwMode="auto">
        <a:xfrm>
          <a:off x="9144000" y="1943100"/>
          <a:ext cx="0" cy="542925"/>
        </a:xfrm>
        <a:prstGeom prst="line">
          <a:avLst/>
        </a:prstGeom>
        <a:noFill/>
        <a:ln w="38100" cmpd="dbl">
          <a:solidFill>
            <a:srgbClr val="000000"/>
          </a:solidFill>
          <a:round/>
          <a:headEnd/>
          <a:tailEnd/>
        </a:ln>
      </xdr:spPr>
    </xdr:sp>
    <xdr:clientData/>
  </xdr:twoCellAnchor>
  <xdr:twoCellAnchor>
    <xdr:from>
      <xdr:col>16</xdr:col>
      <xdr:colOff>523875</xdr:colOff>
      <xdr:row>11</xdr:row>
      <xdr:rowOff>47625</xdr:rowOff>
    </xdr:from>
    <xdr:to>
      <xdr:col>17</xdr:col>
      <xdr:colOff>447675</xdr:colOff>
      <xdr:row>14</xdr:row>
      <xdr:rowOff>0</xdr:rowOff>
    </xdr:to>
    <xdr:sp macro="" textlink="">
      <xdr:nvSpPr>
        <xdr:cNvPr id="18" name="Rectangle 27" descr="50%">
          <a:extLst>
            <a:ext uri="{FF2B5EF4-FFF2-40B4-BE49-F238E27FC236}">
              <a16:creationId xmlns:a16="http://schemas.microsoft.com/office/drawing/2014/main" id="{5BC1AA23-BDD0-47BE-8699-FB45263D0E06}"/>
            </a:ext>
          </a:extLst>
        </xdr:cNvPr>
        <xdr:cNvSpPr>
          <a:spLocks noChangeArrowheads="1"/>
        </xdr:cNvSpPr>
      </xdr:nvSpPr>
      <xdr:spPr bwMode="auto">
        <a:xfrm>
          <a:off x="10277475" y="1943100"/>
          <a:ext cx="533400" cy="600075"/>
        </a:xfrm>
        <a:prstGeom prst="rect">
          <a:avLst/>
        </a:prstGeom>
        <a:pattFill prst="pct50">
          <a:fgClr>
            <a:srgbClr val="C0C0C0"/>
          </a:fgClr>
          <a:bgClr>
            <a:srgbClr val="FFFFFF"/>
          </a:bgClr>
        </a:pattFill>
        <a:ln w="22225">
          <a:solidFill>
            <a:srgbClr val="000000"/>
          </a:solidFill>
          <a:miter lim="800000"/>
          <a:headEnd/>
          <a:tailEnd/>
        </a:ln>
        <a:effectLst/>
      </xdr:spPr>
      <xdr:txBody>
        <a:bodyPr vertOverflow="clip" wrap="square" lIns="0" tIns="91440" rIns="0" bIns="0" anchor="t" upright="1"/>
        <a:lstStyle/>
        <a:p>
          <a:pPr algn="l" rtl="0">
            <a:defRPr sz="1000"/>
          </a:pPr>
          <a:r>
            <a:rPr lang="en-US" sz="1100" b="1" i="0" strike="noStrike">
              <a:solidFill>
                <a:srgbClr val="000000"/>
              </a:solidFill>
              <a:latin typeface="Arial"/>
              <a:cs typeface="Arial"/>
            </a:rPr>
            <a:t>Inside ONT</a:t>
          </a:r>
        </a:p>
      </xdr:txBody>
    </xdr:sp>
    <xdr:clientData/>
  </xdr:twoCellAnchor>
  <xdr:oneCellAnchor>
    <xdr:from>
      <xdr:col>15</xdr:col>
      <xdr:colOff>466725</xdr:colOff>
      <xdr:row>13</xdr:row>
      <xdr:rowOff>28575</xdr:rowOff>
    </xdr:from>
    <xdr:ext cx="184731" cy="387286"/>
    <xdr:sp macro="" textlink="">
      <xdr:nvSpPr>
        <xdr:cNvPr id="19" name="Text Box 28">
          <a:extLst>
            <a:ext uri="{FF2B5EF4-FFF2-40B4-BE49-F238E27FC236}">
              <a16:creationId xmlns:a16="http://schemas.microsoft.com/office/drawing/2014/main" id="{65B2DFC9-56BD-4A08-9D34-BE3C07AAD8F9}"/>
            </a:ext>
          </a:extLst>
        </xdr:cNvPr>
        <xdr:cNvSpPr txBox="1">
          <a:spLocks noChangeArrowheads="1"/>
        </xdr:cNvSpPr>
      </xdr:nvSpPr>
      <xdr:spPr bwMode="auto">
        <a:xfrm>
          <a:off x="9610725" y="2409825"/>
          <a:ext cx="184731" cy="387286"/>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oneCellAnchor>
  <xdr:twoCellAnchor>
    <xdr:from>
      <xdr:col>16</xdr:col>
      <xdr:colOff>523875</xdr:colOff>
      <xdr:row>14</xdr:row>
      <xdr:rowOff>19050</xdr:rowOff>
    </xdr:from>
    <xdr:to>
      <xdr:col>17</xdr:col>
      <xdr:colOff>447675</xdr:colOff>
      <xdr:row>15</xdr:row>
      <xdr:rowOff>133350</xdr:rowOff>
    </xdr:to>
    <xdr:sp macro="" textlink="">
      <xdr:nvSpPr>
        <xdr:cNvPr id="20" name="Rectangle 30" descr="50%">
          <a:extLst>
            <a:ext uri="{FF2B5EF4-FFF2-40B4-BE49-F238E27FC236}">
              <a16:creationId xmlns:a16="http://schemas.microsoft.com/office/drawing/2014/main" id="{B8E54C01-40BE-4D47-976C-717CD8F99639}"/>
            </a:ext>
          </a:extLst>
        </xdr:cNvPr>
        <xdr:cNvSpPr>
          <a:spLocks noChangeArrowheads="1"/>
        </xdr:cNvSpPr>
      </xdr:nvSpPr>
      <xdr:spPr bwMode="auto">
        <a:xfrm>
          <a:off x="10277475" y="2562225"/>
          <a:ext cx="533400" cy="276225"/>
        </a:xfrm>
        <a:prstGeom prst="rect">
          <a:avLst/>
        </a:prstGeom>
        <a:pattFill prst="pct50">
          <a:fgClr>
            <a:srgbClr val="C0C0C0"/>
          </a:fgClr>
          <a:bgClr>
            <a:srgbClr val="FFFFFF"/>
          </a:bgClr>
        </a:pattFill>
        <a:ln w="22225">
          <a:solidFill>
            <a:srgbClr val="000000"/>
          </a:solidFill>
          <a:prstDash val="dash"/>
          <a:miter lim="800000"/>
          <a:headEnd/>
          <a:tailEnd/>
        </a:ln>
      </xdr:spPr>
    </xdr:sp>
    <xdr:clientData/>
  </xdr:twoCellAnchor>
  <xdr:twoCellAnchor>
    <xdr:from>
      <xdr:col>15</xdr:col>
      <xdr:colOff>11907</xdr:colOff>
      <xdr:row>12</xdr:row>
      <xdr:rowOff>107156</xdr:rowOff>
    </xdr:from>
    <xdr:to>
      <xdr:col>15</xdr:col>
      <xdr:colOff>500062</xdr:colOff>
      <xdr:row>12</xdr:row>
      <xdr:rowOff>119063</xdr:rowOff>
    </xdr:to>
    <xdr:sp macro="" textlink="">
      <xdr:nvSpPr>
        <xdr:cNvPr id="21" name="Line 32">
          <a:extLst>
            <a:ext uri="{FF2B5EF4-FFF2-40B4-BE49-F238E27FC236}">
              <a16:creationId xmlns:a16="http://schemas.microsoft.com/office/drawing/2014/main" id="{0956D57F-D98A-4DFA-BC3F-0183FC9AD8D2}"/>
            </a:ext>
          </a:extLst>
        </xdr:cNvPr>
        <xdr:cNvSpPr>
          <a:spLocks noChangeShapeType="1"/>
        </xdr:cNvSpPr>
      </xdr:nvSpPr>
      <xdr:spPr bwMode="auto">
        <a:xfrm>
          <a:off x="9155907" y="2164556"/>
          <a:ext cx="488155" cy="11907"/>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9</xdr:col>
      <xdr:colOff>161925</xdr:colOff>
      <xdr:row>29</xdr:row>
      <xdr:rowOff>28575</xdr:rowOff>
    </xdr:from>
    <xdr:to>
      <xdr:col>10</xdr:col>
      <xdr:colOff>476250</xdr:colOff>
      <xdr:row>31</xdr:row>
      <xdr:rowOff>38100</xdr:rowOff>
    </xdr:to>
    <xdr:sp macro="" textlink="">
      <xdr:nvSpPr>
        <xdr:cNvPr id="22" name="Rectangle 42">
          <a:extLst>
            <a:ext uri="{FF2B5EF4-FFF2-40B4-BE49-F238E27FC236}">
              <a16:creationId xmlns:a16="http://schemas.microsoft.com/office/drawing/2014/main" id="{48BB3693-D57C-458D-906D-66AF39851C80}"/>
            </a:ext>
          </a:extLst>
        </xdr:cNvPr>
        <xdr:cNvSpPr>
          <a:spLocks noChangeArrowheads="1"/>
        </xdr:cNvSpPr>
      </xdr:nvSpPr>
      <xdr:spPr bwMode="auto">
        <a:xfrm>
          <a:off x="5648325" y="5324475"/>
          <a:ext cx="923925" cy="495300"/>
        </a:xfrm>
        <a:prstGeom prst="rect">
          <a:avLst/>
        </a:prstGeom>
        <a:noFill/>
        <a:ln w="9525">
          <a:noFill/>
          <a:miter lim="800000"/>
          <a:headEnd/>
          <a:tailEnd/>
        </a:ln>
      </xdr:spPr>
      <xdr:txBody>
        <a:bodyPr vertOverflow="clip" wrap="square" lIns="0" tIns="0" rIns="0" bIns="0" anchor="t" upright="1"/>
        <a:lstStyle/>
        <a:p>
          <a:pPr algn="l" rtl="0">
            <a:defRPr sz="1000"/>
          </a:pPr>
          <a:r>
            <a:rPr lang="en-US" sz="1000" b="0" i="0" strike="noStrike">
              <a:solidFill>
                <a:srgbClr val="000000"/>
              </a:solidFill>
              <a:latin typeface="Arial"/>
              <a:cs typeface="Arial"/>
            </a:rPr>
            <a:t>SC/APC Connector</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twoCellAnchor>
  <xdr:oneCellAnchor>
    <xdr:from>
      <xdr:col>15</xdr:col>
      <xdr:colOff>266700</xdr:colOff>
      <xdr:row>7</xdr:row>
      <xdr:rowOff>85725</xdr:rowOff>
    </xdr:from>
    <xdr:ext cx="36677" cy="293757"/>
    <xdr:sp macro="" textlink="">
      <xdr:nvSpPr>
        <xdr:cNvPr id="23" name="Rectangle 44">
          <a:extLst>
            <a:ext uri="{FF2B5EF4-FFF2-40B4-BE49-F238E27FC236}">
              <a16:creationId xmlns:a16="http://schemas.microsoft.com/office/drawing/2014/main" id="{764CCF8D-6B2C-4726-801A-486C34668A21}"/>
            </a:ext>
          </a:extLst>
        </xdr:cNvPr>
        <xdr:cNvSpPr>
          <a:spLocks noChangeArrowheads="1"/>
        </xdr:cNvSpPr>
      </xdr:nvSpPr>
      <xdr:spPr bwMode="auto">
        <a:xfrm>
          <a:off x="9410700" y="1333500"/>
          <a:ext cx="36677" cy="293757"/>
        </a:xfrm>
        <a:prstGeom prst="rect">
          <a:avLst/>
        </a:prstGeom>
        <a:noFill/>
        <a:ln w="9525">
          <a:noFill/>
          <a:miter lim="800000"/>
          <a:headEnd/>
          <a:tailEnd/>
        </a:ln>
        <a:effectLst/>
      </xdr:spPr>
      <xdr:txBody>
        <a:bodyPr wrap="none" lIns="9144" tIns="0" rIns="0" bIns="0" anchor="t" upright="1">
          <a:spAutoFit/>
        </a:bodyPr>
        <a:lstStyle/>
        <a:p>
          <a:pPr algn="l" rtl="0">
            <a:defRPr sz="1000"/>
          </a:pPr>
          <a:r>
            <a:rPr lang="en-US" sz="900" b="0" i="0" strike="noStrike">
              <a:solidFill>
                <a:srgbClr val="000000"/>
              </a:solidFill>
              <a:latin typeface="Arial"/>
              <a:cs typeface="Arial"/>
            </a:rPr>
            <a:t>  </a:t>
          </a:r>
        </a:p>
        <a:p>
          <a:pPr algn="l" rtl="0">
            <a:defRPr sz="1000"/>
          </a:pPr>
          <a:endParaRPr lang="en-US" sz="900" b="0" i="0" strike="noStrike">
            <a:solidFill>
              <a:srgbClr val="000000"/>
            </a:solidFill>
            <a:latin typeface="Arial"/>
            <a:cs typeface="Arial"/>
          </a:endParaRPr>
        </a:p>
      </xdr:txBody>
    </xdr:sp>
    <xdr:clientData/>
  </xdr:oneCellAnchor>
  <xdr:oneCellAnchor>
    <xdr:from>
      <xdr:col>17</xdr:col>
      <xdr:colOff>381000</xdr:colOff>
      <xdr:row>9</xdr:row>
      <xdr:rowOff>142875</xdr:rowOff>
    </xdr:from>
    <xdr:ext cx="41293" cy="151617"/>
    <xdr:sp macro="" textlink="">
      <xdr:nvSpPr>
        <xdr:cNvPr id="24" name="Rectangle 45">
          <a:extLst>
            <a:ext uri="{FF2B5EF4-FFF2-40B4-BE49-F238E27FC236}">
              <a16:creationId xmlns:a16="http://schemas.microsoft.com/office/drawing/2014/main" id="{1472367D-9601-4375-9C1B-4798D62AC25E}"/>
            </a:ext>
          </a:extLst>
        </xdr:cNvPr>
        <xdr:cNvSpPr>
          <a:spLocks noChangeArrowheads="1"/>
        </xdr:cNvSpPr>
      </xdr:nvSpPr>
      <xdr:spPr bwMode="auto">
        <a:xfrm>
          <a:off x="10744200" y="1714500"/>
          <a:ext cx="41293" cy="151617"/>
        </a:xfrm>
        <a:prstGeom prst="rect">
          <a:avLst/>
        </a:prstGeom>
        <a:noFill/>
        <a:ln w="9525">
          <a:noFill/>
          <a:miter lim="800000"/>
          <a:headEnd/>
          <a:tailEnd/>
        </a:ln>
        <a:effectLst/>
      </xdr:spPr>
      <xdr:txBody>
        <a:bodyPr wrap="none" lIns="9144" tIns="0" rIns="0" bIns="0" anchor="t" upright="1">
          <a:spAutoFit/>
        </a:bodyPr>
        <a:lstStyle/>
        <a:p>
          <a:pPr algn="l" rtl="0">
            <a:defRPr sz="1000"/>
          </a:pPr>
          <a:r>
            <a:rPr lang="en-US" sz="900" b="0" i="0" strike="noStrike">
              <a:solidFill>
                <a:srgbClr val="000000"/>
              </a:solidFill>
              <a:latin typeface="Arial"/>
              <a:cs typeface="Arial"/>
            </a:rPr>
            <a:t> </a:t>
          </a:r>
        </a:p>
        <a:p>
          <a:pPr algn="l" rtl="0">
            <a:defRPr sz="1000"/>
          </a:pPr>
          <a:endParaRPr lang="en-US" sz="900" b="0" i="0" strike="noStrike">
            <a:solidFill>
              <a:srgbClr val="000000"/>
            </a:solidFill>
            <a:latin typeface="Arial"/>
            <a:cs typeface="Arial"/>
          </a:endParaRPr>
        </a:p>
      </xdr:txBody>
    </xdr:sp>
    <xdr:clientData/>
  </xdr:oneCellAnchor>
  <xdr:oneCellAnchor>
    <xdr:from>
      <xdr:col>15</xdr:col>
      <xdr:colOff>47625</xdr:colOff>
      <xdr:row>4</xdr:row>
      <xdr:rowOff>142875</xdr:rowOff>
    </xdr:from>
    <xdr:ext cx="97227" cy="475381"/>
    <xdr:sp macro="" textlink="">
      <xdr:nvSpPr>
        <xdr:cNvPr id="25" name="Text Box 46">
          <a:extLst>
            <a:ext uri="{FF2B5EF4-FFF2-40B4-BE49-F238E27FC236}">
              <a16:creationId xmlns:a16="http://schemas.microsoft.com/office/drawing/2014/main" id="{184AA3A9-DB0A-4FD8-891F-1E174A85B4C6}"/>
            </a:ext>
          </a:extLst>
        </xdr:cNvPr>
        <xdr:cNvSpPr txBox="1">
          <a:spLocks noChangeArrowheads="1"/>
        </xdr:cNvSpPr>
      </xdr:nvSpPr>
      <xdr:spPr bwMode="auto">
        <a:xfrm>
          <a:off x="9191625" y="904875"/>
          <a:ext cx="97227" cy="475381"/>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200" b="0" i="0" strike="noStrike">
            <a:solidFill>
              <a:srgbClr val="000000"/>
            </a:solidFill>
            <a:latin typeface="Times New Roman"/>
            <a:cs typeface="Times New Roman"/>
          </a:endParaRPr>
        </a:p>
        <a:p>
          <a:pPr algn="l" rtl="0">
            <a:defRPr sz="1000"/>
          </a:pPr>
          <a:endParaRPr lang="en-US" sz="1200" b="0" i="0" strike="noStrike">
            <a:solidFill>
              <a:srgbClr val="000000"/>
            </a:solidFill>
            <a:latin typeface="Times New Roman"/>
            <a:cs typeface="Times New Roman"/>
          </a:endParaRPr>
        </a:p>
      </xdr:txBody>
    </xdr:sp>
    <xdr:clientData/>
  </xdr:oneCellAnchor>
  <xdr:oneCellAnchor>
    <xdr:from>
      <xdr:col>6</xdr:col>
      <xdr:colOff>381000</xdr:colOff>
      <xdr:row>14</xdr:row>
      <xdr:rowOff>28575</xdr:rowOff>
    </xdr:from>
    <xdr:ext cx="172548" cy="356885"/>
    <xdr:sp macro="" textlink="">
      <xdr:nvSpPr>
        <xdr:cNvPr id="26" name="Rectangle 47">
          <a:extLst>
            <a:ext uri="{FF2B5EF4-FFF2-40B4-BE49-F238E27FC236}">
              <a16:creationId xmlns:a16="http://schemas.microsoft.com/office/drawing/2014/main" id="{4E521EBA-0099-4300-A0DE-7158E817638E}"/>
            </a:ext>
          </a:extLst>
        </xdr:cNvPr>
        <xdr:cNvSpPr>
          <a:spLocks noChangeArrowheads="1"/>
        </xdr:cNvSpPr>
      </xdr:nvSpPr>
      <xdr:spPr bwMode="auto">
        <a:xfrm>
          <a:off x="4038600" y="2571750"/>
          <a:ext cx="172548" cy="356885"/>
        </a:xfrm>
        <a:prstGeom prst="rect">
          <a:avLst/>
        </a:prstGeom>
        <a:noFill/>
        <a:ln w="9525">
          <a:noFill/>
          <a:miter lim="800000"/>
          <a:headEnd/>
          <a:tailEnd/>
        </a:ln>
      </xdr:spPr>
      <xdr:txBody>
        <a:bodyPr wrap="none" lIns="0" tIns="0" rIns="0" bIns="0" anchor="t" upright="1">
          <a:spAutoFit/>
        </a:bodyPr>
        <a:lstStyle/>
        <a:p>
          <a:pPr algn="l" rtl="0">
            <a:defRPr sz="1000"/>
          </a:pPr>
          <a:r>
            <a:rPr lang="en-US" sz="1100" b="0" i="0" strike="noStrike">
              <a:solidFill>
                <a:srgbClr val="000000"/>
              </a:solidFill>
              <a:latin typeface="Arial"/>
              <a:cs typeface="Arial"/>
            </a:rPr>
            <a:t>P7</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oneCellAnchor>
    <xdr:from>
      <xdr:col>8</xdr:col>
      <xdr:colOff>542925</xdr:colOff>
      <xdr:row>15</xdr:row>
      <xdr:rowOff>76200</xdr:rowOff>
    </xdr:from>
    <xdr:ext cx="26738" cy="161748"/>
    <xdr:sp macro="" textlink="">
      <xdr:nvSpPr>
        <xdr:cNvPr id="27" name="Rectangle 48">
          <a:extLst>
            <a:ext uri="{FF2B5EF4-FFF2-40B4-BE49-F238E27FC236}">
              <a16:creationId xmlns:a16="http://schemas.microsoft.com/office/drawing/2014/main" id="{5CEFE6E3-FD7A-4F03-933C-3524ACFCDFC8}"/>
            </a:ext>
          </a:extLst>
        </xdr:cNvPr>
        <xdr:cNvSpPr>
          <a:spLocks noChangeArrowheads="1"/>
        </xdr:cNvSpPr>
      </xdr:nvSpPr>
      <xdr:spPr bwMode="auto">
        <a:xfrm>
          <a:off x="5419725" y="2781300"/>
          <a:ext cx="26738" cy="161748"/>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6</xdr:col>
      <xdr:colOff>457200</xdr:colOff>
      <xdr:row>11</xdr:row>
      <xdr:rowOff>123825</xdr:rowOff>
    </xdr:from>
    <xdr:to>
      <xdr:col>6</xdr:col>
      <xdr:colOff>457200</xdr:colOff>
      <xdr:row>13</xdr:row>
      <xdr:rowOff>104775</xdr:rowOff>
    </xdr:to>
    <xdr:sp macro="" textlink="">
      <xdr:nvSpPr>
        <xdr:cNvPr id="28" name="Line 49">
          <a:extLst>
            <a:ext uri="{FF2B5EF4-FFF2-40B4-BE49-F238E27FC236}">
              <a16:creationId xmlns:a16="http://schemas.microsoft.com/office/drawing/2014/main" id="{13E47AFE-B3FB-401D-A291-DAE407328C9F}"/>
            </a:ext>
          </a:extLst>
        </xdr:cNvPr>
        <xdr:cNvSpPr>
          <a:spLocks noChangeShapeType="1"/>
        </xdr:cNvSpPr>
      </xdr:nvSpPr>
      <xdr:spPr bwMode="auto">
        <a:xfrm>
          <a:off x="4114800" y="2019300"/>
          <a:ext cx="0" cy="466725"/>
        </a:xfrm>
        <a:prstGeom prst="line">
          <a:avLst/>
        </a:prstGeom>
        <a:noFill/>
        <a:ln w="38100" cmpd="dbl">
          <a:solidFill>
            <a:srgbClr val="000000"/>
          </a:solidFill>
          <a:round/>
          <a:headEnd/>
          <a:tailEnd/>
        </a:ln>
      </xdr:spPr>
    </xdr:sp>
    <xdr:clientData/>
  </xdr:twoCellAnchor>
  <xdr:oneCellAnchor>
    <xdr:from>
      <xdr:col>5</xdr:col>
      <xdr:colOff>171450</xdr:colOff>
      <xdr:row>28</xdr:row>
      <xdr:rowOff>47625</xdr:rowOff>
    </xdr:from>
    <xdr:ext cx="601270" cy="680779"/>
    <xdr:sp macro="" textlink="">
      <xdr:nvSpPr>
        <xdr:cNvPr id="29" name="Text Box 50">
          <a:extLst>
            <a:ext uri="{FF2B5EF4-FFF2-40B4-BE49-F238E27FC236}">
              <a16:creationId xmlns:a16="http://schemas.microsoft.com/office/drawing/2014/main" id="{2E7BAF99-1244-41AC-8F70-399013729FF0}"/>
            </a:ext>
          </a:extLst>
        </xdr:cNvPr>
        <xdr:cNvSpPr txBox="1">
          <a:spLocks noChangeArrowheads="1"/>
        </xdr:cNvSpPr>
      </xdr:nvSpPr>
      <xdr:spPr bwMode="auto">
        <a:xfrm>
          <a:off x="3219450" y="5181600"/>
          <a:ext cx="601270" cy="680779"/>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Building</a:t>
          </a:r>
        </a:p>
        <a:p>
          <a:pPr algn="l" rtl="0">
            <a:defRPr sz="1000"/>
          </a:pPr>
          <a:r>
            <a:rPr lang="en-US" sz="1200" b="0" i="0" strike="noStrike">
              <a:solidFill>
                <a:srgbClr val="000000"/>
              </a:solidFill>
              <a:latin typeface="Times New Roman"/>
              <a:cs typeface="Times New Roman"/>
            </a:rPr>
            <a:t>Cable </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2</xdr:col>
      <xdr:colOff>152400</xdr:colOff>
      <xdr:row>11</xdr:row>
      <xdr:rowOff>123825</xdr:rowOff>
    </xdr:from>
    <xdr:to>
      <xdr:col>3</xdr:col>
      <xdr:colOff>152400</xdr:colOff>
      <xdr:row>22</xdr:row>
      <xdr:rowOff>66675</xdr:rowOff>
    </xdr:to>
    <xdr:sp macro="" textlink="">
      <xdr:nvSpPr>
        <xdr:cNvPr id="30" name="Text Box 52">
          <a:extLst>
            <a:ext uri="{FF2B5EF4-FFF2-40B4-BE49-F238E27FC236}">
              <a16:creationId xmlns:a16="http://schemas.microsoft.com/office/drawing/2014/main" id="{880D30F0-08EB-44BB-844B-1F52A03595E2}"/>
            </a:ext>
          </a:extLst>
        </xdr:cNvPr>
        <xdr:cNvSpPr txBox="1">
          <a:spLocks noChangeArrowheads="1"/>
        </xdr:cNvSpPr>
      </xdr:nvSpPr>
      <xdr:spPr bwMode="auto">
        <a:xfrm>
          <a:off x="1371600" y="2019300"/>
          <a:ext cx="609600" cy="2047875"/>
        </a:xfrm>
        <a:prstGeom prst="rect">
          <a:avLst/>
        </a:prstGeom>
        <a:solidFill>
          <a:srgbClr val="FFCC00"/>
        </a:solidFill>
        <a:ln w="38100">
          <a:solidFill>
            <a:srgbClr val="000000"/>
          </a:solidFill>
          <a:miter lim="800000"/>
          <a:headEnd/>
          <a:tailEnd/>
        </a:ln>
        <a:effectLst/>
      </xdr:spPr>
      <xdr:txBody>
        <a:bodyPr vertOverflow="clip" wrap="square" lIns="91440" tIns="45720" rIns="91440" bIns="45720" anchor="t" upright="1"/>
        <a:lstStyle/>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FOT Panel</a:t>
          </a:r>
          <a:endParaRPr lang="en-US" sz="800" b="0" i="0" strike="noStrike">
            <a:solidFill>
              <a:srgbClr val="000000"/>
            </a:solidFill>
            <a:latin typeface="Arial"/>
            <a:cs typeface="Arial"/>
          </a:endParaRPr>
        </a:p>
        <a:p>
          <a:pPr algn="l" rtl="0">
            <a:defRPr sz="1000"/>
          </a:pPr>
          <a:endParaRPr lang="en-US" sz="800" b="0" i="0" strike="noStrike">
            <a:solidFill>
              <a:srgbClr val="000000"/>
            </a:solidFill>
            <a:latin typeface="Arial"/>
            <a:cs typeface="Arial"/>
          </a:endParaRPr>
        </a:p>
      </xdr:txBody>
    </xdr:sp>
    <xdr:clientData/>
  </xdr:twoCellAnchor>
  <xdr:twoCellAnchor>
    <xdr:from>
      <xdr:col>2</xdr:col>
      <xdr:colOff>228600</xdr:colOff>
      <xdr:row>12</xdr:row>
      <xdr:rowOff>38100</xdr:rowOff>
    </xdr:from>
    <xdr:to>
      <xdr:col>2</xdr:col>
      <xdr:colOff>457200</xdr:colOff>
      <xdr:row>13</xdr:row>
      <xdr:rowOff>104775</xdr:rowOff>
    </xdr:to>
    <xdr:sp macro="" textlink="">
      <xdr:nvSpPr>
        <xdr:cNvPr id="31" name="Freeform 54">
          <a:extLst>
            <a:ext uri="{FF2B5EF4-FFF2-40B4-BE49-F238E27FC236}">
              <a16:creationId xmlns:a16="http://schemas.microsoft.com/office/drawing/2014/main" id="{0E103965-EB58-4C50-98CE-D7CFEBFB6B03}"/>
            </a:ext>
          </a:extLst>
        </xdr:cNvPr>
        <xdr:cNvSpPr>
          <a:spLocks/>
        </xdr:cNvSpPr>
      </xdr:nvSpPr>
      <xdr:spPr bwMode="auto">
        <a:xfrm>
          <a:off x="1447800" y="2095500"/>
          <a:ext cx="228600" cy="3905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1</xdr:col>
      <xdr:colOff>381000</xdr:colOff>
      <xdr:row>13</xdr:row>
      <xdr:rowOff>28575</xdr:rowOff>
    </xdr:from>
    <xdr:to>
      <xdr:col>2</xdr:col>
      <xdr:colOff>228600</xdr:colOff>
      <xdr:row>13</xdr:row>
      <xdr:rowOff>28575</xdr:rowOff>
    </xdr:to>
    <xdr:sp macro="" textlink="">
      <xdr:nvSpPr>
        <xdr:cNvPr id="32" name="Line 55">
          <a:extLst>
            <a:ext uri="{FF2B5EF4-FFF2-40B4-BE49-F238E27FC236}">
              <a16:creationId xmlns:a16="http://schemas.microsoft.com/office/drawing/2014/main" id="{8C07CF2F-C1FB-4AC7-A62A-CE082B89481A}"/>
            </a:ext>
          </a:extLst>
        </xdr:cNvPr>
        <xdr:cNvSpPr>
          <a:spLocks noChangeShapeType="1"/>
        </xdr:cNvSpPr>
      </xdr:nvSpPr>
      <xdr:spPr bwMode="auto">
        <a:xfrm>
          <a:off x="990600" y="2409825"/>
          <a:ext cx="457200" cy="0"/>
        </a:xfrm>
        <a:prstGeom prst="line">
          <a:avLst/>
        </a:prstGeom>
        <a:noFill/>
        <a:ln w="9525">
          <a:solidFill>
            <a:srgbClr val="000000"/>
          </a:solidFill>
          <a:round/>
          <a:headEnd/>
          <a:tailEnd/>
        </a:ln>
      </xdr:spPr>
    </xdr:sp>
    <xdr:clientData/>
  </xdr:twoCellAnchor>
  <xdr:twoCellAnchor>
    <xdr:from>
      <xdr:col>1</xdr:col>
      <xdr:colOff>533400</xdr:colOff>
      <xdr:row>25</xdr:row>
      <xdr:rowOff>142875</xdr:rowOff>
    </xdr:from>
    <xdr:to>
      <xdr:col>3</xdr:col>
      <xdr:colOff>228600</xdr:colOff>
      <xdr:row>33</xdr:row>
      <xdr:rowOff>66675</xdr:rowOff>
    </xdr:to>
    <xdr:sp macro="" textlink="">
      <xdr:nvSpPr>
        <xdr:cNvPr id="33" name="Text Box 57">
          <a:extLst>
            <a:ext uri="{FF2B5EF4-FFF2-40B4-BE49-F238E27FC236}">
              <a16:creationId xmlns:a16="http://schemas.microsoft.com/office/drawing/2014/main" id="{AEB2593D-1DA8-4616-AA94-1307716D001C}"/>
            </a:ext>
          </a:extLst>
        </xdr:cNvPr>
        <xdr:cNvSpPr txBox="1">
          <a:spLocks noChangeArrowheads="1"/>
        </xdr:cNvSpPr>
      </xdr:nvSpPr>
      <xdr:spPr bwMode="auto">
        <a:xfrm>
          <a:off x="1143000" y="4629150"/>
          <a:ext cx="914400" cy="1543050"/>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FOT</a:t>
          </a:r>
        </a:p>
        <a:p>
          <a:pPr algn="l" rtl="0">
            <a:defRPr sz="1000"/>
          </a:pPr>
          <a:r>
            <a:rPr lang="en-US" sz="1000" b="0" i="0" strike="noStrike">
              <a:solidFill>
                <a:srgbClr val="000000"/>
              </a:solidFill>
              <a:latin typeface="Arial"/>
              <a:cs typeface="Arial"/>
            </a:rPr>
            <a:t>Termination</a:t>
          </a:r>
        </a:p>
        <a:p>
          <a:pPr algn="l" rtl="0">
            <a:defRPr sz="1000"/>
          </a:pPr>
          <a:endParaRPr lang="en-US" sz="1000" b="0" i="0" strike="noStrike">
            <a:solidFill>
              <a:srgbClr val="000000"/>
            </a:solidFill>
            <a:latin typeface="Arial"/>
            <a:cs typeface="Arial"/>
          </a:endParaRPr>
        </a:p>
      </xdr:txBody>
    </xdr:sp>
    <xdr:clientData/>
  </xdr:twoCellAnchor>
  <xdr:twoCellAnchor>
    <xdr:from>
      <xdr:col>3</xdr:col>
      <xdr:colOff>228600</xdr:colOff>
      <xdr:row>25</xdr:row>
      <xdr:rowOff>142875</xdr:rowOff>
    </xdr:from>
    <xdr:to>
      <xdr:col>4</xdr:col>
      <xdr:colOff>266700</xdr:colOff>
      <xdr:row>33</xdr:row>
      <xdr:rowOff>66675</xdr:rowOff>
    </xdr:to>
    <xdr:sp macro="" textlink="">
      <xdr:nvSpPr>
        <xdr:cNvPr id="34" name="Text Box 58">
          <a:extLst>
            <a:ext uri="{FF2B5EF4-FFF2-40B4-BE49-F238E27FC236}">
              <a16:creationId xmlns:a16="http://schemas.microsoft.com/office/drawing/2014/main" id="{30EF5DD6-178D-4B38-8070-16BE357F5AF1}"/>
            </a:ext>
          </a:extLst>
        </xdr:cNvPr>
        <xdr:cNvSpPr txBox="1">
          <a:spLocks noChangeArrowheads="1"/>
        </xdr:cNvSpPr>
      </xdr:nvSpPr>
      <xdr:spPr bwMode="auto">
        <a:xfrm>
          <a:off x="2057400" y="4629150"/>
          <a:ext cx="647700" cy="1543050"/>
        </a:xfrm>
        <a:prstGeom prst="rect">
          <a:avLst/>
        </a:prstGeom>
        <a:solidFill>
          <a:srgbClr val="00CC99"/>
        </a:solidFill>
        <a:ln w="38100">
          <a:solidFill>
            <a:srgbClr val="000000"/>
          </a:solidFill>
          <a:miter lim="800000"/>
          <a:headEnd/>
          <a:tailEnd/>
        </a:ln>
        <a:effectLst/>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OSP</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304800</xdr:colOff>
      <xdr:row>13</xdr:row>
      <xdr:rowOff>76200</xdr:rowOff>
    </xdr:from>
    <xdr:to>
      <xdr:col>2</xdr:col>
      <xdr:colOff>333375</xdr:colOff>
      <xdr:row>26</xdr:row>
      <xdr:rowOff>57150</xdr:rowOff>
    </xdr:to>
    <xdr:sp macro="" textlink="">
      <xdr:nvSpPr>
        <xdr:cNvPr id="35" name="Line 59">
          <a:extLst>
            <a:ext uri="{FF2B5EF4-FFF2-40B4-BE49-F238E27FC236}">
              <a16:creationId xmlns:a16="http://schemas.microsoft.com/office/drawing/2014/main" id="{501CA6E0-FA30-40AD-9CC7-E4FD1F1AD352}"/>
            </a:ext>
          </a:extLst>
        </xdr:cNvPr>
        <xdr:cNvSpPr>
          <a:spLocks noChangeShapeType="1"/>
        </xdr:cNvSpPr>
      </xdr:nvSpPr>
      <xdr:spPr bwMode="auto">
        <a:xfrm flipH="1">
          <a:off x="1524000" y="2457450"/>
          <a:ext cx="28575" cy="2409825"/>
        </a:xfrm>
        <a:prstGeom prst="line">
          <a:avLst/>
        </a:prstGeom>
        <a:noFill/>
        <a:ln w="9525">
          <a:solidFill>
            <a:srgbClr val="000000"/>
          </a:solidFill>
          <a:round/>
          <a:headEnd/>
          <a:tailEnd/>
        </a:ln>
      </xdr:spPr>
    </xdr:sp>
    <xdr:clientData/>
  </xdr:twoCellAnchor>
  <xdr:twoCellAnchor>
    <xdr:from>
      <xdr:col>2</xdr:col>
      <xdr:colOff>457200</xdr:colOff>
      <xdr:row>27</xdr:row>
      <xdr:rowOff>47625</xdr:rowOff>
    </xdr:from>
    <xdr:to>
      <xdr:col>3</xdr:col>
      <xdr:colOff>533400</xdr:colOff>
      <xdr:row>27</xdr:row>
      <xdr:rowOff>47625</xdr:rowOff>
    </xdr:to>
    <xdr:sp macro="" textlink="">
      <xdr:nvSpPr>
        <xdr:cNvPr id="36" name="Line 60">
          <a:extLst>
            <a:ext uri="{FF2B5EF4-FFF2-40B4-BE49-F238E27FC236}">
              <a16:creationId xmlns:a16="http://schemas.microsoft.com/office/drawing/2014/main" id="{FE28ACA6-A8B8-46D0-9BD4-B558F39067D2}"/>
            </a:ext>
          </a:extLst>
        </xdr:cNvPr>
        <xdr:cNvSpPr>
          <a:spLocks noChangeShapeType="1"/>
        </xdr:cNvSpPr>
      </xdr:nvSpPr>
      <xdr:spPr bwMode="auto">
        <a:xfrm>
          <a:off x="1676400" y="5019675"/>
          <a:ext cx="685800" cy="0"/>
        </a:xfrm>
        <a:prstGeom prst="line">
          <a:avLst/>
        </a:prstGeom>
        <a:noFill/>
        <a:ln w="9525">
          <a:solidFill>
            <a:srgbClr val="000000"/>
          </a:solidFill>
          <a:round/>
          <a:headEnd/>
          <a:tailEnd/>
        </a:ln>
      </xdr:spPr>
    </xdr:sp>
    <xdr:clientData/>
  </xdr:twoCellAnchor>
  <xdr:oneCellAnchor>
    <xdr:from>
      <xdr:col>2</xdr:col>
      <xdr:colOff>381000</xdr:colOff>
      <xdr:row>15</xdr:row>
      <xdr:rowOff>142875</xdr:rowOff>
    </xdr:from>
    <xdr:ext cx="284516" cy="388477"/>
    <xdr:sp macro="" textlink="">
      <xdr:nvSpPr>
        <xdr:cNvPr id="37" name="Text Box 61">
          <a:extLst>
            <a:ext uri="{FF2B5EF4-FFF2-40B4-BE49-F238E27FC236}">
              <a16:creationId xmlns:a16="http://schemas.microsoft.com/office/drawing/2014/main" id="{B2FA5502-2E97-4294-93BA-CEDE187EBD54}"/>
            </a:ext>
          </a:extLst>
        </xdr:cNvPr>
        <xdr:cNvSpPr txBox="1">
          <a:spLocks noChangeArrowheads="1"/>
        </xdr:cNvSpPr>
      </xdr:nvSpPr>
      <xdr:spPr bwMode="auto">
        <a:xfrm>
          <a:off x="1600200" y="2847975"/>
          <a:ext cx="284516" cy="38847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C3</a:t>
          </a:r>
        </a:p>
        <a:p>
          <a:pPr algn="l" rtl="0">
            <a:defRPr sz="1000"/>
          </a:pPr>
          <a:endParaRPr lang="en-US" sz="1000" b="0" i="0" strike="noStrike">
            <a:solidFill>
              <a:srgbClr val="000000"/>
            </a:solidFill>
            <a:latin typeface="Times New Roman"/>
            <a:cs typeface="Times New Roman"/>
          </a:endParaRPr>
        </a:p>
      </xdr:txBody>
    </xdr:sp>
    <xdr:clientData/>
  </xdr:oneCellAnchor>
  <xdr:oneCellAnchor>
    <xdr:from>
      <xdr:col>2</xdr:col>
      <xdr:colOff>457200</xdr:colOff>
      <xdr:row>25</xdr:row>
      <xdr:rowOff>104775</xdr:rowOff>
    </xdr:from>
    <xdr:ext cx="284516" cy="464654"/>
    <xdr:sp macro="" textlink="">
      <xdr:nvSpPr>
        <xdr:cNvPr id="38" name="Text Box 62">
          <a:extLst>
            <a:ext uri="{FF2B5EF4-FFF2-40B4-BE49-F238E27FC236}">
              <a16:creationId xmlns:a16="http://schemas.microsoft.com/office/drawing/2014/main" id="{E4FF5C84-6260-4A47-BC25-B9C42953B62B}"/>
            </a:ext>
          </a:extLst>
        </xdr:cNvPr>
        <xdr:cNvSpPr txBox="1">
          <a:spLocks noChangeArrowheads="1"/>
        </xdr:cNvSpPr>
      </xdr:nvSpPr>
      <xdr:spPr bwMode="auto">
        <a:xfrm>
          <a:off x="1676400" y="4591050"/>
          <a:ext cx="284516" cy="464654"/>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P4</a:t>
          </a:r>
        </a:p>
        <a:p>
          <a:pPr algn="l" rtl="0">
            <a:defRPr sz="1000"/>
          </a:pPr>
          <a:endParaRPr lang="en-US" sz="1200" b="0" i="0" strike="noStrike">
            <a:solidFill>
              <a:srgbClr val="000000"/>
            </a:solidFill>
            <a:latin typeface="Times New Roman"/>
            <a:cs typeface="Times New Roman"/>
          </a:endParaRPr>
        </a:p>
      </xdr:txBody>
    </xdr:sp>
    <xdr:clientData/>
  </xdr:oneCellAnchor>
  <xdr:oneCellAnchor>
    <xdr:from>
      <xdr:col>2</xdr:col>
      <xdr:colOff>0</xdr:colOff>
      <xdr:row>27</xdr:row>
      <xdr:rowOff>76200</xdr:rowOff>
    </xdr:from>
    <xdr:ext cx="266700" cy="493222"/>
    <xdr:sp macro="" textlink="">
      <xdr:nvSpPr>
        <xdr:cNvPr id="39" name="Text Box 63">
          <a:extLst>
            <a:ext uri="{FF2B5EF4-FFF2-40B4-BE49-F238E27FC236}">
              <a16:creationId xmlns:a16="http://schemas.microsoft.com/office/drawing/2014/main" id="{A493D3C5-D6B0-4F7A-A5C0-46CAF2CC9AFA}"/>
            </a:ext>
          </a:extLst>
        </xdr:cNvPr>
        <xdr:cNvSpPr txBox="1">
          <a:spLocks noChangeArrowheads="1"/>
        </xdr:cNvSpPr>
      </xdr:nvSpPr>
      <xdr:spPr bwMode="auto">
        <a:xfrm>
          <a:off x="1219200" y="5048250"/>
          <a:ext cx="266700" cy="493222"/>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900" b="0" i="0" strike="noStrike">
              <a:solidFill>
                <a:srgbClr val="000000"/>
              </a:solidFill>
              <a:latin typeface="Times New Roman"/>
              <a:cs typeface="Times New Roman"/>
            </a:rPr>
            <a:t>C7</a:t>
          </a:r>
        </a:p>
        <a:p>
          <a:pPr algn="l" rtl="0">
            <a:defRPr sz="1000"/>
          </a:pPr>
          <a:endParaRPr lang="en-US" sz="900" b="0" i="0" strike="noStrike">
            <a:solidFill>
              <a:srgbClr val="000000"/>
            </a:solidFill>
            <a:latin typeface="Times New Roman"/>
            <a:cs typeface="Times New Roman"/>
          </a:endParaRPr>
        </a:p>
        <a:p>
          <a:pPr algn="l" rtl="0">
            <a:defRPr sz="1000"/>
          </a:pPr>
          <a:endParaRPr lang="en-US" sz="900" b="0" i="0" strike="noStrike">
            <a:solidFill>
              <a:srgbClr val="000000"/>
            </a:solidFill>
            <a:latin typeface="Times New Roman"/>
            <a:cs typeface="Times New Roman"/>
          </a:endParaRPr>
        </a:p>
      </xdr:txBody>
    </xdr:sp>
    <xdr:clientData/>
  </xdr:oneCellAnchor>
  <xdr:oneCellAnchor>
    <xdr:from>
      <xdr:col>3</xdr:col>
      <xdr:colOff>295275</xdr:colOff>
      <xdr:row>27</xdr:row>
      <xdr:rowOff>114300</xdr:rowOff>
    </xdr:from>
    <xdr:ext cx="273274" cy="350441"/>
    <xdr:sp macro="" textlink="">
      <xdr:nvSpPr>
        <xdr:cNvPr id="40" name="Text Box 64">
          <a:extLst>
            <a:ext uri="{FF2B5EF4-FFF2-40B4-BE49-F238E27FC236}">
              <a16:creationId xmlns:a16="http://schemas.microsoft.com/office/drawing/2014/main" id="{212B6FB0-4370-4CB6-A2E6-B31D75031036}"/>
            </a:ext>
          </a:extLst>
        </xdr:cNvPr>
        <xdr:cNvSpPr txBox="1">
          <a:spLocks noChangeArrowheads="1"/>
        </xdr:cNvSpPr>
      </xdr:nvSpPr>
      <xdr:spPr bwMode="auto">
        <a:xfrm>
          <a:off x="2124075" y="5086350"/>
          <a:ext cx="273274" cy="350441"/>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900" b="0" i="0" strike="noStrike">
              <a:solidFill>
                <a:srgbClr val="000000"/>
              </a:solidFill>
              <a:latin typeface="Times New Roman"/>
              <a:cs typeface="Times New Roman"/>
            </a:rPr>
            <a:t>C6</a:t>
          </a:r>
        </a:p>
        <a:p>
          <a:pPr algn="l" rtl="0">
            <a:defRPr sz="1000"/>
          </a:pPr>
          <a:endParaRPr lang="en-US" sz="900" b="0" i="0" strike="noStrike">
            <a:solidFill>
              <a:srgbClr val="000000"/>
            </a:solidFill>
            <a:latin typeface="Times New Roman"/>
            <a:cs typeface="Times New Roman"/>
          </a:endParaRPr>
        </a:p>
      </xdr:txBody>
    </xdr:sp>
    <xdr:clientData/>
  </xdr:oneCellAnchor>
  <xdr:twoCellAnchor>
    <xdr:from>
      <xdr:col>1</xdr:col>
      <xdr:colOff>0</xdr:colOff>
      <xdr:row>9</xdr:row>
      <xdr:rowOff>142875</xdr:rowOff>
    </xdr:from>
    <xdr:to>
      <xdr:col>5</xdr:col>
      <xdr:colOff>228600</xdr:colOff>
      <xdr:row>34</xdr:row>
      <xdr:rowOff>133350</xdr:rowOff>
    </xdr:to>
    <xdr:sp macro="" textlink="">
      <xdr:nvSpPr>
        <xdr:cNvPr id="41" name="Rectangle 65">
          <a:extLst>
            <a:ext uri="{FF2B5EF4-FFF2-40B4-BE49-F238E27FC236}">
              <a16:creationId xmlns:a16="http://schemas.microsoft.com/office/drawing/2014/main" id="{D8C78865-8516-43AD-969F-0B41425C18F1}"/>
            </a:ext>
          </a:extLst>
        </xdr:cNvPr>
        <xdr:cNvSpPr>
          <a:spLocks noChangeArrowheads="1"/>
        </xdr:cNvSpPr>
      </xdr:nvSpPr>
      <xdr:spPr bwMode="auto">
        <a:xfrm>
          <a:off x="609600" y="1714500"/>
          <a:ext cx="2667000" cy="4848225"/>
        </a:xfrm>
        <a:prstGeom prst="rect">
          <a:avLst/>
        </a:prstGeom>
        <a:noFill/>
        <a:ln w="57150">
          <a:solidFill>
            <a:srgbClr val="000000"/>
          </a:solidFill>
          <a:miter lim="800000"/>
          <a:headEnd/>
          <a:tailEnd/>
        </a:ln>
      </xdr:spPr>
    </xdr:sp>
    <xdr:clientData/>
  </xdr:twoCellAnchor>
  <xdr:twoCellAnchor>
    <xdr:from>
      <xdr:col>5</xdr:col>
      <xdr:colOff>228600</xdr:colOff>
      <xdr:row>9</xdr:row>
      <xdr:rowOff>142875</xdr:rowOff>
    </xdr:from>
    <xdr:to>
      <xdr:col>6</xdr:col>
      <xdr:colOff>304800</xdr:colOff>
      <xdr:row>34</xdr:row>
      <xdr:rowOff>133350</xdr:rowOff>
    </xdr:to>
    <xdr:sp macro="" textlink="">
      <xdr:nvSpPr>
        <xdr:cNvPr id="42" name="Rectangle 66">
          <a:extLst>
            <a:ext uri="{FF2B5EF4-FFF2-40B4-BE49-F238E27FC236}">
              <a16:creationId xmlns:a16="http://schemas.microsoft.com/office/drawing/2014/main" id="{EC8474B5-402C-444E-8272-672383B7BF7F}"/>
            </a:ext>
          </a:extLst>
        </xdr:cNvPr>
        <xdr:cNvSpPr>
          <a:spLocks noChangeArrowheads="1"/>
        </xdr:cNvSpPr>
      </xdr:nvSpPr>
      <xdr:spPr bwMode="auto">
        <a:xfrm>
          <a:off x="3276600" y="1714500"/>
          <a:ext cx="685800" cy="4848225"/>
        </a:xfrm>
        <a:prstGeom prst="rect">
          <a:avLst/>
        </a:prstGeom>
        <a:noFill/>
        <a:ln w="57150">
          <a:solidFill>
            <a:srgbClr val="000000"/>
          </a:solidFill>
          <a:miter lim="800000"/>
          <a:headEnd/>
          <a:tailEnd/>
        </a:ln>
      </xdr:spPr>
    </xdr:sp>
    <xdr:clientData/>
  </xdr:twoCellAnchor>
  <xdr:oneCellAnchor>
    <xdr:from>
      <xdr:col>5</xdr:col>
      <xdr:colOff>142875</xdr:colOff>
      <xdr:row>7</xdr:row>
      <xdr:rowOff>114300</xdr:rowOff>
    </xdr:from>
    <xdr:ext cx="656822" cy="474761"/>
    <xdr:sp macro="" textlink="">
      <xdr:nvSpPr>
        <xdr:cNvPr id="43" name="Text Box 67">
          <a:extLst>
            <a:ext uri="{FF2B5EF4-FFF2-40B4-BE49-F238E27FC236}">
              <a16:creationId xmlns:a16="http://schemas.microsoft.com/office/drawing/2014/main" id="{AEB25CBA-58BC-49FF-9209-DB557EADC7EF}"/>
            </a:ext>
          </a:extLst>
        </xdr:cNvPr>
        <xdr:cNvSpPr txBox="1">
          <a:spLocks noChangeArrowheads="1"/>
        </xdr:cNvSpPr>
      </xdr:nvSpPr>
      <xdr:spPr bwMode="auto">
        <a:xfrm>
          <a:off x="3190875" y="1362075"/>
          <a:ext cx="656822" cy="474761"/>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CO Vault</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3</xdr:col>
      <xdr:colOff>533400</xdr:colOff>
      <xdr:row>27</xdr:row>
      <xdr:rowOff>47625</xdr:rowOff>
    </xdr:from>
    <xdr:to>
      <xdr:col>5</xdr:col>
      <xdr:colOff>381000</xdr:colOff>
      <xdr:row>27</xdr:row>
      <xdr:rowOff>47625</xdr:rowOff>
    </xdr:to>
    <xdr:sp macro="" textlink="">
      <xdr:nvSpPr>
        <xdr:cNvPr id="44" name="Line 68">
          <a:extLst>
            <a:ext uri="{FF2B5EF4-FFF2-40B4-BE49-F238E27FC236}">
              <a16:creationId xmlns:a16="http://schemas.microsoft.com/office/drawing/2014/main" id="{90C72A1D-7E29-40B0-9728-03B36D065E7A}"/>
            </a:ext>
          </a:extLst>
        </xdr:cNvPr>
        <xdr:cNvSpPr>
          <a:spLocks noChangeShapeType="1"/>
        </xdr:cNvSpPr>
      </xdr:nvSpPr>
      <xdr:spPr bwMode="auto">
        <a:xfrm>
          <a:off x="2362200" y="5019675"/>
          <a:ext cx="1066800" cy="0"/>
        </a:xfrm>
        <a:prstGeom prst="line">
          <a:avLst/>
        </a:prstGeom>
        <a:noFill/>
        <a:ln w="19050">
          <a:solidFill>
            <a:srgbClr val="3333CC"/>
          </a:solidFill>
          <a:prstDash val="sysDot"/>
          <a:round/>
          <a:headEnd/>
          <a:tailEnd/>
        </a:ln>
      </xdr:spPr>
    </xdr:sp>
    <xdr:clientData/>
  </xdr:twoCellAnchor>
  <xdr:twoCellAnchor>
    <xdr:from>
      <xdr:col>5</xdr:col>
      <xdr:colOff>381000</xdr:colOff>
      <xdr:row>12</xdr:row>
      <xdr:rowOff>114300</xdr:rowOff>
    </xdr:from>
    <xdr:to>
      <xdr:col>5</xdr:col>
      <xdr:colOff>381000</xdr:colOff>
      <xdr:row>27</xdr:row>
      <xdr:rowOff>47625</xdr:rowOff>
    </xdr:to>
    <xdr:sp macro="" textlink="">
      <xdr:nvSpPr>
        <xdr:cNvPr id="45" name="Line 69">
          <a:extLst>
            <a:ext uri="{FF2B5EF4-FFF2-40B4-BE49-F238E27FC236}">
              <a16:creationId xmlns:a16="http://schemas.microsoft.com/office/drawing/2014/main" id="{48367428-6CA0-4CAC-B0C7-029701EF5CC5}"/>
            </a:ext>
          </a:extLst>
        </xdr:cNvPr>
        <xdr:cNvSpPr>
          <a:spLocks noChangeShapeType="1"/>
        </xdr:cNvSpPr>
      </xdr:nvSpPr>
      <xdr:spPr bwMode="auto">
        <a:xfrm>
          <a:off x="3429000" y="2171700"/>
          <a:ext cx="0" cy="2847975"/>
        </a:xfrm>
        <a:prstGeom prst="line">
          <a:avLst/>
        </a:prstGeom>
        <a:noFill/>
        <a:ln w="19050">
          <a:solidFill>
            <a:srgbClr val="3333CC"/>
          </a:solidFill>
          <a:prstDash val="sysDot"/>
          <a:round/>
          <a:headEnd/>
          <a:tailEnd/>
        </a:ln>
      </xdr:spPr>
    </xdr:sp>
    <xdr:clientData/>
  </xdr:twoCellAnchor>
  <xdr:twoCellAnchor>
    <xdr:from>
      <xdr:col>5</xdr:col>
      <xdr:colOff>381000</xdr:colOff>
      <xdr:row>12</xdr:row>
      <xdr:rowOff>38100</xdr:rowOff>
    </xdr:from>
    <xdr:to>
      <xdr:col>5</xdr:col>
      <xdr:colOff>476250</xdr:colOff>
      <xdr:row>12</xdr:row>
      <xdr:rowOff>123825</xdr:rowOff>
    </xdr:to>
    <xdr:sp macro="" textlink="">
      <xdr:nvSpPr>
        <xdr:cNvPr id="46" name="Freeform 70">
          <a:extLst>
            <a:ext uri="{FF2B5EF4-FFF2-40B4-BE49-F238E27FC236}">
              <a16:creationId xmlns:a16="http://schemas.microsoft.com/office/drawing/2014/main" id="{8D64D796-36FE-454F-9A1D-1A82026E8E50}"/>
            </a:ext>
          </a:extLst>
        </xdr:cNvPr>
        <xdr:cNvSpPr>
          <a:spLocks/>
        </xdr:cNvSpPr>
      </xdr:nvSpPr>
      <xdr:spPr bwMode="auto">
        <a:xfrm>
          <a:off x="3429000" y="2095500"/>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1</xdr:col>
      <xdr:colOff>600075</xdr:colOff>
      <xdr:row>32</xdr:row>
      <xdr:rowOff>0</xdr:rowOff>
    </xdr:from>
    <xdr:ext cx="303575" cy="377604"/>
    <xdr:sp macro="" textlink="">
      <xdr:nvSpPr>
        <xdr:cNvPr id="47" name="Text Box 84">
          <a:extLst>
            <a:ext uri="{FF2B5EF4-FFF2-40B4-BE49-F238E27FC236}">
              <a16:creationId xmlns:a16="http://schemas.microsoft.com/office/drawing/2014/main" id="{961188FF-27FA-4399-8EB5-1CD4C8A58A40}"/>
            </a:ext>
          </a:extLst>
        </xdr:cNvPr>
        <xdr:cNvSpPr txBox="1">
          <a:spLocks noChangeArrowheads="1"/>
        </xdr:cNvSpPr>
      </xdr:nvSpPr>
      <xdr:spPr bwMode="auto">
        <a:xfrm>
          <a:off x="1209675" y="5943600"/>
          <a:ext cx="303575" cy="377604"/>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C11</a:t>
          </a:r>
        </a:p>
        <a:p>
          <a:pPr algn="l" rtl="0">
            <a:defRPr sz="1000"/>
          </a:pPr>
          <a:endParaRPr lang="en-US" sz="1000" b="0" i="0" strike="noStrike">
            <a:solidFill>
              <a:srgbClr val="000000"/>
            </a:solidFill>
            <a:latin typeface="Times New Roman"/>
            <a:cs typeface="Times New Roman"/>
          </a:endParaRPr>
        </a:p>
      </xdr:txBody>
    </xdr:sp>
    <xdr:clientData/>
  </xdr:oneCellAnchor>
  <xdr:oneCellAnchor>
    <xdr:from>
      <xdr:col>2</xdr:col>
      <xdr:colOff>352425</xdr:colOff>
      <xdr:row>13</xdr:row>
      <xdr:rowOff>28575</xdr:rowOff>
    </xdr:from>
    <xdr:ext cx="284516" cy="379637"/>
    <xdr:sp macro="" textlink="">
      <xdr:nvSpPr>
        <xdr:cNvPr id="48" name="Text Box 86">
          <a:extLst>
            <a:ext uri="{FF2B5EF4-FFF2-40B4-BE49-F238E27FC236}">
              <a16:creationId xmlns:a16="http://schemas.microsoft.com/office/drawing/2014/main" id="{DB612C9D-FBCD-4E0C-A6C1-5EA12D7EA5E0}"/>
            </a:ext>
          </a:extLst>
        </xdr:cNvPr>
        <xdr:cNvSpPr txBox="1">
          <a:spLocks noChangeArrowheads="1"/>
        </xdr:cNvSpPr>
      </xdr:nvSpPr>
      <xdr:spPr bwMode="auto">
        <a:xfrm>
          <a:off x="1571625" y="2409825"/>
          <a:ext cx="284516" cy="37963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C4</a:t>
          </a:r>
        </a:p>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3</xdr:col>
      <xdr:colOff>76200</xdr:colOff>
      <xdr:row>13</xdr:row>
      <xdr:rowOff>28575</xdr:rowOff>
    </xdr:from>
    <xdr:to>
      <xdr:col>3</xdr:col>
      <xdr:colOff>76200</xdr:colOff>
      <xdr:row>14</xdr:row>
      <xdr:rowOff>95250</xdr:rowOff>
    </xdr:to>
    <xdr:sp macro="" textlink="">
      <xdr:nvSpPr>
        <xdr:cNvPr id="49" name="Line 88">
          <a:extLst>
            <a:ext uri="{FF2B5EF4-FFF2-40B4-BE49-F238E27FC236}">
              <a16:creationId xmlns:a16="http://schemas.microsoft.com/office/drawing/2014/main" id="{5421E199-ABB0-4CEB-B08A-D4B56A350C1E}"/>
            </a:ext>
          </a:extLst>
        </xdr:cNvPr>
        <xdr:cNvSpPr>
          <a:spLocks noChangeShapeType="1"/>
        </xdr:cNvSpPr>
      </xdr:nvSpPr>
      <xdr:spPr bwMode="auto">
        <a:xfrm>
          <a:off x="1905000" y="2409825"/>
          <a:ext cx="0" cy="228600"/>
        </a:xfrm>
        <a:prstGeom prst="line">
          <a:avLst/>
        </a:prstGeom>
        <a:noFill/>
        <a:ln w="38100" cmpd="dbl">
          <a:solidFill>
            <a:srgbClr val="000000"/>
          </a:solidFill>
          <a:round/>
          <a:headEnd/>
          <a:tailEnd/>
        </a:ln>
      </xdr:spPr>
    </xdr:sp>
    <xdr:clientData/>
  </xdr:twoCellAnchor>
  <xdr:twoCellAnchor>
    <xdr:from>
      <xdr:col>11</xdr:col>
      <xdr:colOff>0</xdr:colOff>
      <xdr:row>11</xdr:row>
      <xdr:rowOff>47625</xdr:rowOff>
    </xdr:from>
    <xdr:to>
      <xdr:col>11</xdr:col>
      <xdr:colOff>228600</xdr:colOff>
      <xdr:row>11</xdr:row>
      <xdr:rowOff>123825</xdr:rowOff>
    </xdr:to>
    <xdr:sp macro="" textlink="">
      <xdr:nvSpPr>
        <xdr:cNvPr id="50" name="Line 90">
          <a:extLst>
            <a:ext uri="{FF2B5EF4-FFF2-40B4-BE49-F238E27FC236}">
              <a16:creationId xmlns:a16="http://schemas.microsoft.com/office/drawing/2014/main" id="{F95120B5-B644-4BC5-9149-CE969F77DBB6}"/>
            </a:ext>
          </a:extLst>
        </xdr:cNvPr>
        <xdr:cNvSpPr>
          <a:spLocks noChangeShapeType="1"/>
        </xdr:cNvSpPr>
      </xdr:nvSpPr>
      <xdr:spPr bwMode="auto">
        <a:xfrm flipV="1">
          <a:off x="6705600" y="1943100"/>
          <a:ext cx="228600" cy="76200"/>
        </a:xfrm>
        <a:prstGeom prst="line">
          <a:avLst/>
        </a:prstGeom>
        <a:noFill/>
        <a:ln w="12700">
          <a:solidFill>
            <a:srgbClr val="000000"/>
          </a:solidFill>
          <a:round/>
          <a:headEnd/>
          <a:tailEnd/>
        </a:ln>
      </xdr:spPr>
    </xdr:sp>
    <xdr:clientData/>
  </xdr:twoCellAnchor>
  <xdr:twoCellAnchor>
    <xdr:from>
      <xdr:col>10</xdr:col>
      <xdr:colOff>304800</xdr:colOff>
      <xdr:row>11</xdr:row>
      <xdr:rowOff>123825</xdr:rowOff>
    </xdr:from>
    <xdr:to>
      <xdr:col>11</xdr:col>
      <xdr:colOff>0</xdr:colOff>
      <xdr:row>13</xdr:row>
      <xdr:rowOff>104775</xdr:rowOff>
    </xdr:to>
    <xdr:grpSp>
      <xdr:nvGrpSpPr>
        <xdr:cNvPr id="51" name="Group 94">
          <a:extLst>
            <a:ext uri="{FF2B5EF4-FFF2-40B4-BE49-F238E27FC236}">
              <a16:creationId xmlns:a16="http://schemas.microsoft.com/office/drawing/2014/main" id="{DC7AF9C1-C1C2-4370-9760-86ADDCFD1013}"/>
            </a:ext>
          </a:extLst>
        </xdr:cNvPr>
        <xdr:cNvGrpSpPr>
          <a:grpSpLocks noChangeAspect="1"/>
        </xdr:cNvGrpSpPr>
      </xdr:nvGrpSpPr>
      <xdr:grpSpPr bwMode="auto">
        <a:xfrm>
          <a:off x="6355976" y="2252943"/>
          <a:ext cx="300318" cy="507626"/>
          <a:chOff x="1056" y="3408"/>
          <a:chExt cx="144" cy="96"/>
        </a:xfrm>
      </xdr:grpSpPr>
      <xdr:sp macro="" textlink="">
        <xdr:nvSpPr>
          <xdr:cNvPr id="52" name="Rectangle 95">
            <a:extLst>
              <a:ext uri="{FF2B5EF4-FFF2-40B4-BE49-F238E27FC236}">
                <a16:creationId xmlns:a16="http://schemas.microsoft.com/office/drawing/2014/main" id="{C7F3C8C2-94EA-4BE1-A5D5-36879B959281}"/>
              </a:ext>
            </a:extLst>
          </xdr:cNvPr>
          <xdr:cNvSpPr>
            <a:spLocks noChangeAspect="1" noChangeArrowheads="1"/>
          </xdr:cNvSpPr>
        </xdr:nvSpPr>
        <xdr:spPr bwMode="auto">
          <a:xfrm>
            <a:off x="1056" y="3408"/>
            <a:ext cx="144" cy="96"/>
          </a:xfrm>
          <a:prstGeom prst="rect">
            <a:avLst/>
          </a:prstGeom>
          <a:solidFill>
            <a:srgbClr val="000000"/>
          </a:solidFill>
          <a:ln w="12700">
            <a:solidFill>
              <a:srgbClr val="000000"/>
            </a:solidFill>
            <a:miter lim="800000"/>
            <a:headEnd/>
            <a:tailEnd/>
          </a:ln>
        </xdr:spPr>
      </xdr:sp>
      <xdr:sp macro="" textlink="">
        <xdr:nvSpPr>
          <xdr:cNvPr id="53" name="Rectangle 96">
            <a:extLst>
              <a:ext uri="{FF2B5EF4-FFF2-40B4-BE49-F238E27FC236}">
                <a16:creationId xmlns:a16="http://schemas.microsoft.com/office/drawing/2014/main" id="{27354089-E64A-4837-A723-6EDFA7B6C58E}"/>
              </a:ext>
            </a:extLst>
          </xdr:cNvPr>
          <xdr:cNvSpPr>
            <a:spLocks noChangeAspect="1" noChangeArrowheads="1"/>
          </xdr:cNvSpPr>
        </xdr:nvSpPr>
        <xdr:spPr bwMode="auto">
          <a:xfrm>
            <a:off x="1056" y="3408"/>
            <a:ext cx="96" cy="96"/>
          </a:xfrm>
          <a:prstGeom prst="rect">
            <a:avLst/>
          </a:prstGeom>
          <a:noFill/>
          <a:ln w="9525">
            <a:solidFill>
              <a:srgbClr val="FFCC00"/>
            </a:solidFill>
            <a:miter lim="800000"/>
            <a:headEnd/>
            <a:tailEnd/>
          </a:ln>
        </xdr:spPr>
      </xdr:sp>
      <xdr:sp macro="" textlink="">
        <xdr:nvSpPr>
          <xdr:cNvPr id="54" name="Rectangle 97" descr="Light horizontal">
            <a:extLst>
              <a:ext uri="{FF2B5EF4-FFF2-40B4-BE49-F238E27FC236}">
                <a16:creationId xmlns:a16="http://schemas.microsoft.com/office/drawing/2014/main" id="{037ACFD4-946D-4F1D-9CBC-CDBD951F5322}"/>
              </a:ext>
            </a:extLst>
          </xdr:cNvPr>
          <xdr:cNvSpPr>
            <a:spLocks noChangeAspect="1" noChangeArrowheads="1"/>
          </xdr:cNvSpPr>
        </xdr:nvSpPr>
        <xdr:spPr bwMode="auto">
          <a:xfrm>
            <a:off x="1151" y="3408"/>
            <a:ext cx="50" cy="96"/>
          </a:xfrm>
          <a:prstGeom prst="rect">
            <a:avLst/>
          </a:prstGeom>
          <a:pattFill prst="ltHorz">
            <a:fgClr>
              <a:srgbClr val="FF9933"/>
            </a:fgClr>
            <a:bgClr>
              <a:srgbClr val="000000"/>
            </a:bgClr>
          </a:pattFill>
          <a:ln w="9525">
            <a:solidFill>
              <a:srgbClr val="FF9900"/>
            </a:solidFill>
            <a:miter lim="800000"/>
            <a:headEnd/>
            <a:tailEnd/>
          </a:ln>
          <a:effectLst/>
        </xdr:spPr>
        <xdr:txBody>
          <a:bodyPr vertOverflow="clip" wrap="square" lIns="0" tIns="0" rIns="0" bIns="0" anchor="t" upright="1"/>
          <a:lstStyle/>
          <a:p>
            <a:pPr algn="l" rtl="0">
              <a:defRPr sz="1000"/>
            </a:pPr>
            <a:endParaRPr lang="en-US" sz="1000" b="0" i="0" strike="noStrike">
              <a:solidFill>
                <a:srgbClr val="008080"/>
              </a:solidFill>
              <a:latin typeface="Arial Narrow"/>
            </a:endParaRPr>
          </a:p>
          <a:p>
            <a:pPr algn="l" rtl="0">
              <a:defRPr sz="1000"/>
            </a:pPr>
            <a:endParaRPr lang="en-US" sz="1000" b="0" i="0" strike="noStrike">
              <a:solidFill>
                <a:srgbClr val="008080"/>
              </a:solidFill>
              <a:latin typeface="Arial Narrow"/>
            </a:endParaRPr>
          </a:p>
        </xdr:txBody>
      </xdr:sp>
      <xdr:sp macro="" textlink="">
        <xdr:nvSpPr>
          <xdr:cNvPr id="55" name="Line 98">
            <a:extLst>
              <a:ext uri="{FF2B5EF4-FFF2-40B4-BE49-F238E27FC236}">
                <a16:creationId xmlns:a16="http://schemas.microsoft.com/office/drawing/2014/main" id="{46509BE8-2E3C-4FAC-B510-76E90E0150EE}"/>
              </a:ext>
            </a:extLst>
          </xdr:cNvPr>
          <xdr:cNvSpPr>
            <a:spLocks noChangeAspect="1" noChangeShapeType="1"/>
          </xdr:cNvSpPr>
        </xdr:nvSpPr>
        <xdr:spPr bwMode="auto">
          <a:xfrm>
            <a:off x="1056" y="3456"/>
            <a:ext cx="96" cy="0"/>
          </a:xfrm>
          <a:prstGeom prst="line">
            <a:avLst/>
          </a:prstGeom>
          <a:noFill/>
          <a:ln w="9525">
            <a:solidFill>
              <a:srgbClr val="FFCC00"/>
            </a:solidFill>
            <a:round/>
            <a:headEnd/>
            <a:tailEnd/>
          </a:ln>
        </xdr:spPr>
      </xdr:sp>
      <xdr:sp macro="" textlink="">
        <xdr:nvSpPr>
          <xdr:cNvPr id="56" name="Rectangle 99">
            <a:extLst>
              <a:ext uri="{FF2B5EF4-FFF2-40B4-BE49-F238E27FC236}">
                <a16:creationId xmlns:a16="http://schemas.microsoft.com/office/drawing/2014/main" id="{66022849-3AD6-498B-944E-5E219C84A2C5}"/>
              </a:ext>
            </a:extLst>
          </xdr:cNvPr>
          <xdr:cNvSpPr>
            <a:spLocks noChangeAspect="1" noChangeArrowheads="1"/>
          </xdr:cNvSpPr>
        </xdr:nvSpPr>
        <xdr:spPr bwMode="auto">
          <a:xfrm>
            <a:off x="1104" y="3408"/>
            <a:ext cx="48" cy="96"/>
          </a:xfrm>
          <a:prstGeom prst="rect">
            <a:avLst/>
          </a:prstGeom>
          <a:solidFill>
            <a:srgbClr val="FF9900"/>
          </a:solidFill>
          <a:ln w="9525">
            <a:solidFill>
              <a:srgbClr val="FF9900"/>
            </a:solidFill>
            <a:miter lim="800000"/>
            <a:headEnd/>
            <a:tailEnd/>
          </a:ln>
        </xdr:spPr>
      </xdr:sp>
    </xdr:grpSp>
    <xdr:clientData/>
  </xdr:twoCellAnchor>
  <xdr:oneCellAnchor>
    <xdr:from>
      <xdr:col>2</xdr:col>
      <xdr:colOff>466725</xdr:colOff>
      <xdr:row>11</xdr:row>
      <xdr:rowOff>142875</xdr:rowOff>
    </xdr:from>
    <xdr:ext cx="149470" cy="322385"/>
    <xdr:sp macro="" textlink="">
      <xdr:nvSpPr>
        <xdr:cNvPr id="57" name="Rectangle 101">
          <a:extLst>
            <a:ext uri="{FF2B5EF4-FFF2-40B4-BE49-F238E27FC236}">
              <a16:creationId xmlns:a16="http://schemas.microsoft.com/office/drawing/2014/main" id="{CD5A05AC-60BF-410D-8FAC-716CBD4894C2}"/>
            </a:ext>
          </a:extLst>
        </xdr:cNvPr>
        <xdr:cNvSpPr>
          <a:spLocks noChangeArrowheads="1"/>
        </xdr:cNvSpPr>
      </xdr:nvSpPr>
      <xdr:spPr bwMode="auto">
        <a:xfrm>
          <a:off x="1685925" y="2038350"/>
          <a:ext cx="149470" cy="322385"/>
        </a:xfrm>
        <a:prstGeom prst="rect">
          <a:avLst/>
        </a:prstGeom>
        <a:noFill/>
        <a:ln w="9525">
          <a:noFill/>
          <a:miter lim="800000"/>
          <a:headEnd/>
          <a:tailEnd/>
        </a:ln>
      </xdr:spPr>
      <xdr:txBody>
        <a:bodyPr wrap="none" lIns="0" tIns="0" rIns="0" bIns="0" anchor="t" upright="1">
          <a:spAutoFit/>
        </a:bodyPr>
        <a:lstStyle/>
        <a:p>
          <a:pPr algn="l" rtl="0">
            <a:defRPr sz="1000"/>
          </a:pPr>
          <a:r>
            <a:rPr lang="en-US" sz="900" b="0" i="0" strike="noStrike">
              <a:solidFill>
                <a:srgbClr val="000000"/>
              </a:solidFill>
              <a:latin typeface="Arial"/>
              <a:cs typeface="Arial"/>
            </a:rPr>
            <a:t>C2</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oneCellAnchor>
  <xdr:twoCellAnchor>
    <xdr:from>
      <xdr:col>7</xdr:col>
      <xdr:colOff>561975</xdr:colOff>
      <xdr:row>12</xdr:row>
      <xdr:rowOff>38100</xdr:rowOff>
    </xdr:from>
    <xdr:to>
      <xdr:col>8</xdr:col>
      <xdr:colOff>38100</xdr:colOff>
      <xdr:row>12</xdr:row>
      <xdr:rowOff>123825</xdr:rowOff>
    </xdr:to>
    <xdr:sp macro="" textlink="">
      <xdr:nvSpPr>
        <xdr:cNvPr id="58" name="Freeform 105">
          <a:extLst>
            <a:ext uri="{FF2B5EF4-FFF2-40B4-BE49-F238E27FC236}">
              <a16:creationId xmlns:a16="http://schemas.microsoft.com/office/drawing/2014/main" id="{91CF406A-9E29-4CF8-873A-996F2D6AB2C9}"/>
            </a:ext>
          </a:extLst>
        </xdr:cNvPr>
        <xdr:cNvSpPr>
          <a:spLocks/>
        </xdr:cNvSpPr>
      </xdr:nvSpPr>
      <xdr:spPr bwMode="auto">
        <a:xfrm>
          <a:off x="4829175" y="209550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7</xdr:col>
      <xdr:colOff>419100</xdr:colOff>
      <xdr:row>4</xdr:row>
      <xdr:rowOff>85725</xdr:rowOff>
    </xdr:from>
    <xdr:ext cx="635900" cy="388477"/>
    <xdr:sp macro="" textlink="">
      <xdr:nvSpPr>
        <xdr:cNvPr id="59" name="Text Box 107">
          <a:extLst>
            <a:ext uri="{FF2B5EF4-FFF2-40B4-BE49-F238E27FC236}">
              <a16:creationId xmlns:a16="http://schemas.microsoft.com/office/drawing/2014/main" id="{0E7E4E97-0E3A-4057-998F-710EDCA90E29}"/>
            </a:ext>
          </a:extLst>
        </xdr:cNvPr>
        <xdr:cNvSpPr txBox="1">
          <a:spLocks noChangeArrowheads="1"/>
        </xdr:cNvSpPr>
      </xdr:nvSpPr>
      <xdr:spPr bwMode="auto">
        <a:xfrm>
          <a:off x="4686300" y="847725"/>
          <a:ext cx="635900" cy="38847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Last </a:t>
          </a:r>
        </a:p>
        <a:p>
          <a:pPr algn="l" rtl="0">
            <a:defRPr sz="1000"/>
          </a:pPr>
          <a:r>
            <a:rPr lang="en-US" sz="1000" b="0" i="0" strike="noStrike">
              <a:solidFill>
                <a:srgbClr val="000000"/>
              </a:solidFill>
              <a:latin typeface="Times New Roman"/>
              <a:cs typeface="Times New Roman"/>
            </a:rPr>
            <a:t>manhole</a:t>
          </a:r>
        </a:p>
      </xdr:txBody>
    </xdr:sp>
    <xdr:clientData/>
  </xdr:oneCellAnchor>
  <xdr:twoCellAnchor>
    <xdr:from>
      <xdr:col>4</xdr:col>
      <xdr:colOff>152400</xdr:colOff>
      <xdr:row>26</xdr:row>
      <xdr:rowOff>133350</xdr:rowOff>
    </xdr:from>
    <xdr:to>
      <xdr:col>4</xdr:col>
      <xdr:colOff>247650</xdr:colOff>
      <xdr:row>27</xdr:row>
      <xdr:rowOff>57150</xdr:rowOff>
    </xdr:to>
    <xdr:sp macro="" textlink="">
      <xdr:nvSpPr>
        <xdr:cNvPr id="60" name="Freeform 109">
          <a:extLst>
            <a:ext uri="{FF2B5EF4-FFF2-40B4-BE49-F238E27FC236}">
              <a16:creationId xmlns:a16="http://schemas.microsoft.com/office/drawing/2014/main" id="{D71356AA-7D9D-4432-B78D-685B53027773}"/>
            </a:ext>
          </a:extLst>
        </xdr:cNvPr>
        <xdr:cNvSpPr>
          <a:spLocks/>
        </xdr:cNvSpPr>
      </xdr:nvSpPr>
      <xdr:spPr bwMode="auto">
        <a:xfrm>
          <a:off x="2590800" y="4943475"/>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FF0000"/>
        </a:solidFill>
        <a:ln w="12700">
          <a:solidFill>
            <a:srgbClr val="000000"/>
          </a:solidFill>
          <a:round/>
          <a:headEnd/>
          <a:tailEnd/>
        </a:ln>
      </xdr:spPr>
    </xdr:sp>
    <xdr:clientData/>
  </xdr:twoCellAnchor>
  <xdr:oneCellAnchor>
    <xdr:from>
      <xdr:col>3</xdr:col>
      <xdr:colOff>381000</xdr:colOff>
      <xdr:row>23</xdr:row>
      <xdr:rowOff>85725</xdr:rowOff>
    </xdr:from>
    <xdr:ext cx="282857" cy="474137"/>
    <xdr:sp macro="" textlink="">
      <xdr:nvSpPr>
        <xdr:cNvPr id="61" name="Text Box 110">
          <a:extLst>
            <a:ext uri="{FF2B5EF4-FFF2-40B4-BE49-F238E27FC236}">
              <a16:creationId xmlns:a16="http://schemas.microsoft.com/office/drawing/2014/main" id="{E00DBFB7-20CC-415E-921D-84D4264D7EF8}"/>
            </a:ext>
          </a:extLst>
        </xdr:cNvPr>
        <xdr:cNvSpPr txBox="1">
          <a:spLocks noChangeArrowheads="1"/>
        </xdr:cNvSpPr>
      </xdr:nvSpPr>
      <xdr:spPr bwMode="auto">
        <a:xfrm>
          <a:off x="2209800" y="4248150"/>
          <a:ext cx="282857" cy="474137"/>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200" b="0" i="0" strike="noStrike">
              <a:solidFill>
                <a:srgbClr val="000000"/>
              </a:solidFill>
              <a:latin typeface="Times New Roman"/>
              <a:cs typeface="Times New Roman"/>
            </a:rPr>
            <a:t>P8</a:t>
          </a:r>
        </a:p>
        <a:p>
          <a:pPr algn="l" rtl="0">
            <a:defRPr sz="1000"/>
          </a:pPr>
          <a:endParaRPr lang="en-US" sz="1200" b="0" i="0" strike="noStrike">
            <a:solidFill>
              <a:srgbClr val="000000"/>
            </a:solidFill>
            <a:latin typeface="Times New Roman"/>
            <a:cs typeface="Times New Roman"/>
          </a:endParaRPr>
        </a:p>
      </xdr:txBody>
    </xdr:sp>
    <xdr:clientData/>
  </xdr:oneCellAnchor>
  <xdr:twoCellAnchor>
    <xdr:from>
      <xdr:col>7</xdr:col>
      <xdr:colOff>228600</xdr:colOff>
      <xdr:row>12</xdr:row>
      <xdr:rowOff>38100</xdr:rowOff>
    </xdr:from>
    <xdr:to>
      <xdr:col>7</xdr:col>
      <xdr:colOff>323850</xdr:colOff>
      <xdr:row>12</xdr:row>
      <xdr:rowOff>123825</xdr:rowOff>
    </xdr:to>
    <xdr:sp macro="" textlink="">
      <xdr:nvSpPr>
        <xdr:cNvPr id="62" name="Freeform 111">
          <a:extLst>
            <a:ext uri="{FF2B5EF4-FFF2-40B4-BE49-F238E27FC236}">
              <a16:creationId xmlns:a16="http://schemas.microsoft.com/office/drawing/2014/main" id="{EFB28FFB-5CEF-4965-8CD6-DD7557E087CC}"/>
            </a:ext>
          </a:extLst>
        </xdr:cNvPr>
        <xdr:cNvSpPr>
          <a:spLocks/>
        </xdr:cNvSpPr>
      </xdr:nvSpPr>
      <xdr:spPr bwMode="auto">
        <a:xfrm>
          <a:off x="4495800" y="2095500"/>
          <a:ext cx="95250"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oneCellAnchor>
    <xdr:from>
      <xdr:col>15</xdr:col>
      <xdr:colOff>142875</xdr:colOff>
      <xdr:row>9</xdr:row>
      <xdr:rowOff>76200</xdr:rowOff>
    </xdr:from>
    <xdr:ext cx="184731" cy="239809"/>
    <xdr:sp macro="" textlink="">
      <xdr:nvSpPr>
        <xdr:cNvPr id="63" name="Text Box 113">
          <a:extLst>
            <a:ext uri="{FF2B5EF4-FFF2-40B4-BE49-F238E27FC236}">
              <a16:creationId xmlns:a16="http://schemas.microsoft.com/office/drawing/2014/main" id="{6D66CD5E-CEE1-4B2A-A59E-1E775175246E}"/>
            </a:ext>
          </a:extLst>
        </xdr:cNvPr>
        <xdr:cNvSpPr txBox="1">
          <a:spLocks noChangeArrowheads="1"/>
        </xdr:cNvSpPr>
      </xdr:nvSpPr>
      <xdr:spPr bwMode="auto">
        <a:xfrm>
          <a:off x="9286875" y="1647825"/>
          <a:ext cx="184731" cy="239809"/>
        </a:xfrm>
        <a:prstGeom prst="rect">
          <a:avLst/>
        </a:prstGeom>
        <a:noFill/>
        <a:ln w="9525">
          <a:noFill/>
          <a:miter lim="800000"/>
          <a:headEnd/>
          <a:tailEnd/>
        </a:ln>
      </xdr:spPr>
      <xdr:txBody>
        <a:bodyPr wrap="none" lIns="91440" tIns="45720" rIns="91440" bIns="45720" anchor="t" upright="1">
          <a:spAutoFit/>
        </a:bodyPr>
        <a:lstStyle/>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2</xdr:col>
      <xdr:colOff>152400</xdr:colOff>
      <xdr:row>26</xdr:row>
      <xdr:rowOff>57150</xdr:rowOff>
    </xdr:from>
    <xdr:to>
      <xdr:col>2</xdr:col>
      <xdr:colOff>533400</xdr:colOff>
      <xdr:row>26</xdr:row>
      <xdr:rowOff>57150</xdr:rowOff>
    </xdr:to>
    <xdr:sp macro="" textlink="">
      <xdr:nvSpPr>
        <xdr:cNvPr id="64" name="Line 114">
          <a:extLst>
            <a:ext uri="{FF2B5EF4-FFF2-40B4-BE49-F238E27FC236}">
              <a16:creationId xmlns:a16="http://schemas.microsoft.com/office/drawing/2014/main" id="{9AC35FD1-0F1C-4280-B8F0-99FF862AE242}"/>
            </a:ext>
          </a:extLst>
        </xdr:cNvPr>
        <xdr:cNvSpPr>
          <a:spLocks noChangeShapeType="1"/>
        </xdr:cNvSpPr>
      </xdr:nvSpPr>
      <xdr:spPr bwMode="auto">
        <a:xfrm flipH="1">
          <a:off x="1371600" y="4867275"/>
          <a:ext cx="381000" cy="0"/>
        </a:xfrm>
        <a:prstGeom prst="line">
          <a:avLst/>
        </a:prstGeom>
        <a:noFill/>
        <a:ln w="38100" cmpd="dbl">
          <a:solidFill>
            <a:srgbClr val="000000"/>
          </a:solidFill>
          <a:round/>
          <a:headEnd/>
          <a:tailEnd/>
        </a:ln>
      </xdr:spPr>
    </xdr:sp>
    <xdr:clientData/>
  </xdr:twoCellAnchor>
  <xdr:twoCellAnchor>
    <xdr:from>
      <xdr:col>3</xdr:col>
      <xdr:colOff>533400</xdr:colOff>
      <xdr:row>24</xdr:row>
      <xdr:rowOff>152400</xdr:rowOff>
    </xdr:from>
    <xdr:to>
      <xdr:col>3</xdr:col>
      <xdr:colOff>533400</xdr:colOff>
      <xdr:row>28</xdr:row>
      <xdr:rowOff>38100</xdr:rowOff>
    </xdr:to>
    <xdr:sp macro="" textlink="">
      <xdr:nvSpPr>
        <xdr:cNvPr id="65" name="Line 115">
          <a:extLst>
            <a:ext uri="{FF2B5EF4-FFF2-40B4-BE49-F238E27FC236}">
              <a16:creationId xmlns:a16="http://schemas.microsoft.com/office/drawing/2014/main" id="{DDF2374C-350F-4839-83D8-ACD3DCC8E12D}"/>
            </a:ext>
          </a:extLst>
        </xdr:cNvPr>
        <xdr:cNvSpPr>
          <a:spLocks noChangeShapeType="1"/>
        </xdr:cNvSpPr>
      </xdr:nvSpPr>
      <xdr:spPr bwMode="auto">
        <a:xfrm flipH="1" flipV="1">
          <a:off x="2362200" y="4476750"/>
          <a:ext cx="0" cy="695325"/>
        </a:xfrm>
        <a:prstGeom prst="line">
          <a:avLst/>
        </a:prstGeom>
        <a:noFill/>
        <a:ln w="38100" cmpd="dbl">
          <a:solidFill>
            <a:srgbClr val="000000"/>
          </a:solidFill>
          <a:round/>
          <a:headEnd/>
          <a:tailEnd/>
        </a:ln>
      </xdr:spPr>
    </xdr:sp>
    <xdr:clientData/>
  </xdr:twoCellAnchor>
  <xdr:oneCellAnchor>
    <xdr:from>
      <xdr:col>1</xdr:col>
      <xdr:colOff>76200</xdr:colOff>
      <xdr:row>27</xdr:row>
      <xdr:rowOff>104775</xdr:rowOff>
    </xdr:from>
    <xdr:ext cx="390525" cy="378955"/>
    <xdr:sp macro="" textlink="">
      <xdr:nvSpPr>
        <xdr:cNvPr id="66" name="Text Box 116">
          <a:extLst>
            <a:ext uri="{FF2B5EF4-FFF2-40B4-BE49-F238E27FC236}">
              <a16:creationId xmlns:a16="http://schemas.microsoft.com/office/drawing/2014/main" id="{C65078D6-A0AE-42BA-A83E-05119F329B2F}"/>
            </a:ext>
          </a:extLst>
        </xdr:cNvPr>
        <xdr:cNvSpPr txBox="1">
          <a:spLocks noChangeArrowheads="1"/>
        </xdr:cNvSpPr>
      </xdr:nvSpPr>
      <xdr:spPr bwMode="auto">
        <a:xfrm>
          <a:off x="685800" y="5076825"/>
          <a:ext cx="390525" cy="378955"/>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FDF</a:t>
          </a:r>
        </a:p>
        <a:p>
          <a:pPr algn="l" rtl="0">
            <a:defRPr sz="1000"/>
          </a:pPr>
          <a:endParaRPr lang="en-US" sz="1000" b="0" i="0" strike="noStrike">
            <a:solidFill>
              <a:srgbClr val="000000"/>
            </a:solidFill>
            <a:latin typeface="Times New Roman"/>
            <a:cs typeface="Times New Roman"/>
          </a:endParaRPr>
        </a:p>
      </xdr:txBody>
    </xdr:sp>
    <xdr:clientData/>
  </xdr:oneCellAnchor>
  <xdr:twoCellAnchor>
    <xdr:from>
      <xdr:col>9</xdr:col>
      <xdr:colOff>161925</xdr:colOff>
      <xdr:row>33</xdr:row>
      <xdr:rowOff>38100</xdr:rowOff>
    </xdr:from>
    <xdr:to>
      <xdr:col>12</xdr:col>
      <xdr:colOff>66675</xdr:colOff>
      <xdr:row>34</xdr:row>
      <xdr:rowOff>123825</xdr:rowOff>
    </xdr:to>
    <xdr:sp macro="" textlink="">
      <xdr:nvSpPr>
        <xdr:cNvPr id="67" name="Rectangle 118">
          <a:extLst>
            <a:ext uri="{FF2B5EF4-FFF2-40B4-BE49-F238E27FC236}">
              <a16:creationId xmlns:a16="http://schemas.microsoft.com/office/drawing/2014/main" id="{368953A3-029D-4C0A-AEFF-E24C5F1D4F6C}"/>
            </a:ext>
          </a:extLst>
        </xdr:cNvPr>
        <xdr:cNvSpPr>
          <a:spLocks noChangeArrowheads="1"/>
        </xdr:cNvSpPr>
      </xdr:nvSpPr>
      <xdr:spPr bwMode="auto">
        <a:xfrm>
          <a:off x="5648325" y="6143625"/>
          <a:ext cx="1733550" cy="40957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1:32</a:t>
          </a:r>
          <a:r>
            <a:rPr lang="en-US" sz="1000" b="0" i="0" strike="noStrike" baseline="0">
              <a:solidFill>
                <a:srgbClr val="000000"/>
              </a:solidFill>
              <a:latin typeface="Arial"/>
              <a:cs typeface="Arial"/>
            </a:rPr>
            <a:t> or </a:t>
          </a:r>
          <a:r>
            <a:rPr lang="en-US" sz="1000" b="0" i="0" strike="noStrike">
              <a:solidFill>
                <a:srgbClr val="000000"/>
              </a:solidFill>
              <a:latin typeface="Arial"/>
              <a:cs typeface="Arial"/>
            </a:rPr>
            <a:t>1:16 PON Coupler</a:t>
          </a:r>
        </a:p>
        <a:p>
          <a:pPr algn="l" rtl="0">
            <a:defRPr sz="1000"/>
          </a:pPr>
          <a:endParaRPr lang="en-US" sz="1000" b="0" i="0" strike="noStrike">
            <a:solidFill>
              <a:srgbClr val="000000"/>
            </a:solidFill>
            <a:latin typeface="Arial"/>
            <a:cs typeface="Arial"/>
          </a:endParaRPr>
        </a:p>
      </xdr:txBody>
    </xdr:sp>
    <xdr:clientData/>
  </xdr:twoCellAnchor>
  <xdr:twoCellAnchor>
    <xdr:from>
      <xdr:col>9</xdr:col>
      <xdr:colOff>161925</xdr:colOff>
      <xdr:row>34</xdr:row>
      <xdr:rowOff>133350</xdr:rowOff>
    </xdr:from>
    <xdr:to>
      <xdr:col>10</xdr:col>
      <xdr:colOff>314325</xdr:colOff>
      <xdr:row>37</xdr:row>
      <xdr:rowOff>0</xdr:rowOff>
    </xdr:to>
    <xdr:sp macro="" textlink="">
      <xdr:nvSpPr>
        <xdr:cNvPr id="68" name="Rectangle 119">
          <a:extLst>
            <a:ext uri="{FF2B5EF4-FFF2-40B4-BE49-F238E27FC236}">
              <a16:creationId xmlns:a16="http://schemas.microsoft.com/office/drawing/2014/main" id="{0183A276-B852-4381-AFB1-4770AFB73CDD}"/>
            </a:ext>
          </a:extLst>
        </xdr:cNvPr>
        <xdr:cNvSpPr>
          <a:spLocks noChangeArrowheads="1"/>
        </xdr:cNvSpPr>
      </xdr:nvSpPr>
      <xdr:spPr bwMode="auto">
        <a:xfrm>
          <a:off x="5648325" y="6562725"/>
          <a:ext cx="762000" cy="35242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Fusion Splice</a:t>
          </a:r>
        </a:p>
        <a:p>
          <a:pPr algn="l" rtl="0">
            <a:defRPr sz="1000"/>
          </a:pPr>
          <a:endParaRPr lang="en-US" sz="1000" b="0" i="0" strike="noStrike">
            <a:solidFill>
              <a:srgbClr val="000000"/>
            </a:solidFill>
            <a:latin typeface="Arial"/>
            <a:cs typeface="Arial"/>
          </a:endParaRPr>
        </a:p>
      </xdr:txBody>
    </xdr:sp>
    <xdr:clientData/>
  </xdr:twoCellAnchor>
  <xdr:twoCellAnchor>
    <xdr:from>
      <xdr:col>8</xdr:col>
      <xdr:colOff>323850</xdr:colOff>
      <xdr:row>35</xdr:row>
      <xdr:rowOff>76200</xdr:rowOff>
    </xdr:from>
    <xdr:to>
      <xdr:col>8</xdr:col>
      <xdr:colOff>428625</xdr:colOff>
      <xdr:row>35</xdr:row>
      <xdr:rowOff>142875</xdr:rowOff>
    </xdr:to>
    <xdr:sp macro="" textlink="">
      <xdr:nvSpPr>
        <xdr:cNvPr id="69" name="Freeform 120">
          <a:extLst>
            <a:ext uri="{FF2B5EF4-FFF2-40B4-BE49-F238E27FC236}">
              <a16:creationId xmlns:a16="http://schemas.microsoft.com/office/drawing/2014/main" id="{5EE191D8-D76B-4091-AD52-E03AB7899F3F}"/>
            </a:ext>
          </a:extLst>
        </xdr:cNvPr>
        <xdr:cNvSpPr>
          <a:spLocks/>
        </xdr:cNvSpPr>
      </xdr:nvSpPr>
      <xdr:spPr bwMode="auto">
        <a:xfrm>
          <a:off x="5200650" y="6667500"/>
          <a:ext cx="104775" cy="66675"/>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rgbClr val="003300"/>
        </a:solidFill>
        <a:ln w="9525">
          <a:noFill/>
          <a:round/>
          <a:headEnd/>
          <a:tailEnd/>
        </a:ln>
      </xdr:spPr>
    </xdr:sp>
    <xdr:clientData/>
  </xdr:twoCellAnchor>
  <xdr:twoCellAnchor>
    <xdr:from>
      <xdr:col>8</xdr:col>
      <xdr:colOff>228600</xdr:colOff>
      <xdr:row>33</xdr:row>
      <xdr:rowOff>28575</xdr:rowOff>
    </xdr:from>
    <xdr:to>
      <xdr:col>8</xdr:col>
      <xdr:colOff>466725</xdr:colOff>
      <xdr:row>34</xdr:row>
      <xdr:rowOff>85725</xdr:rowOff>
    </xdr:to>
    <xdr:sp macro="" textlink="">
      <xdr:nvSpPr>
        <xdr:cNvPr id="70" name="Rectangle 123">
          <a:extLst>
            <a:ext uri="{FF2B5EF4-FFF2-40B4-BE49-F238E27FC236}">
              <a16:creationId xmlns:a16="http://schemas.microsoft.com/office/drawing/2014/main" id="{C478058B-8F59-4D09-869B-BB3099DAFC26}"/>
            </a:ext>
          </a:extLst>
        </xdr:cNvPr>
        <xdr:cNvSpPr>
          <a:spLocks noChangeAspect="1" noChangeArrowheads="1"/>
        </xdr:cNvSpPr>
      </xdr:nvSpPr>
      <xdr:spPr bwMode="auto">
        <a:xfrm>
          <a:off x="5105400" y="6134100"/>
          <a:ext cx="238125" cy="381000"/>
        </a:xfrm>
        <a:prstGeom prst="rect">
          <a:avLst/>
        </a:prstGeom>
        <a:solidFill>
          <a:srgbClr val="000000"/>
        </a:solidFill>
        <a:ln w="12700">
          <a:solidFill>
            <a:srgbClr val="000000"/>
          </a:solidFill>
          <a:miter lim="800000"/>
          <a:headEnd/>
          <a:tailEnd/>
        </a:ln>
      </xdr:spPr>
    </xdr:sp>
    <xdr:clientData/>
  </xdr:twoCellAnchor>
  <xdr:twoCellAnchor>
    <xdr:from>
      <xdr:col>8</xdr:col>
      <xdr:colOff>228600</xdr:colOff>
      <xdr:row>33</xdr:row>
      <xdr:rowOff>28575</xdr:rowOff>
    </xdr:from>
    <xdr:to>
      <xdr:col>8</xdr:col>
      <xdr:colOff>390525</xdr:colOff>
      <xdr:row>34</xdr:row>
      <xdr:rowOff>85725</xdr:rowOff>
    </xdr:to>
    <xdr:sp macro="" textlink="">
      <xdr:nvSpPr>
        <xdr:cNvPr id="71" name="Rectangle 124">
          <a:extLst>
            <a:ext uri="{FF2B5EF4-FFF2-40B4-BE49-F238E27FC236}">
              <a16:creationId xmlns:a16="http://schemas.microsoft.com/office/drawing/2014/main" id="{F67280C8-3E61-41A5-BB8C-C611F079B582}"/>
            </a:ext>
          </a:extLst>
        </xdr:cNvPr>
        <xdr:cNvSpPr>
          <a:spLocks noChangeAspect="1" noChangeArrowheads="1"/>
        </xdr:cNvSpPr>
      </xdr:nvSpPr>
      <xdr:spPr bwMode="auto">
        <a:xfrm>
          <a:off x="5105400" y="6134100"/>
          <a:ext cx="161925" cy="381000"/>
        </a:xfrm>
        <a:prstGeom prst="rect">
          <a:avLst/>
        </a:prstGeom>
        <a:noFill/>
        <a:ln w="9525">
          <a:solidFill>
            <a:srgbClr val="FFCC00"/>
          </a:solidFill>
          <a:miter lim="800000"/>
          <a:headEnd/>
          <a:tailEnd/>
        </a:ln>
      </xdr:spPr>
    </xdr:sp>
    <xdr:clientData/>
  </xdr:twoCellAnchor>
  <xdr:twoCellAnchor>
    <xdr:from>
      <xdr:col>8</xdr:col>
      <xdr:colOff>390525</xdr:colOff>
      <xdr:row>33</xdr:row>
      <xdr:rowOff>28575</xdr:rowOff>
    </xdr:from>
    <xdr:to>
      <xdr:col>8</xdr:col>
      <xdr:colOff>466725</xdr:colOff>
      <xdr:row>34</xdr:row>
      <xdr:rowOff>85725</xdr:rowOff>
    </xdr:to>
    <xdr:sp macro="" textlink="">
      <xdr:nvSpPr>
        <xdr:cNvPr id="72" name="Rectangle 125" descr="Light horizontal">
          <a:extLst>
            <a:ext uri="{FF2B5EF4-FFF2-40B4-BE49-F238E27FC236}">
              <a16:creationId xmlns:a16="http://schemas.microsoft.com/office/drawing/2014/main" id="{CFB23657-A79E-48E7-A9E0-840EA5583F2B}"/>
            </a:ext>
          </a:extLst>
        </xdr:cNvPr>
        <xdr:cNvSpPr>
          <a:spLocks noChangeAspect="1" noChangeArrowheads="1"/>
        </xdr:cNvSpPr>
      </xdr:nvSpPr>
      <xdr:spPr bwMode="auto">
        <a:xfrm>
          <a:off x="5267325" y="6134100"/>
          <a:ext cx="76200" cy="381000"/>
        </a:xfrm>
        <a:prstGeom prst="rect">
          <a:avLst/>
        </a:prstGeom>
        <a:pattFill prst="ltHorz">
          <a:fgClr>
            <a:srgbClr val="FF9933"/>
          </a:fgClr>
          <a:bgClr>
            <a:srgbClr val="000000"/>
          </a:bgClr>
        </a:pattFill>
        <a:ln w="9525">
          <a:solidFill>
            <a:srgbClr val="FF9900"/>
          </a:solidFill>
          <a:miter lim="800000"/>
          <a:headEnd/>
          <a:tailEnd/>
        </a:ln>
        <a:effectLst/>
      </xdr:spPr>
      <xdr:txBody>
        <a:bodyPr vertOverflow="clip" wrap="square" lIns="0" tIns="0" rIns="0" bIns="0" anchor="t" upright="1"/>
        <a:lstStyle/>
        <a:p>
          <a:pPr algn="l" rtl="0">
            <a:defRPr sz="1000"/>
          </a:pPr>
          <a:endParaRPr lang="en-US" sz="1000" b="0" i="0" strike="noStrike">
            <a:solidFill>
              <a:srgbClr val="008080"/>
            </a:solidFill>
            <a:latin typeface="Arial Narrow"/>
          </a:endParaRPr>
        </a:p>
        <a:p>
          <a:pPr algn="l" rtl="0">
            <a:defRPr sz="1000"/>
          </a:pPr>
          <a:endParaRPr lang="en-US" sz="1000" b="0" i="0" strike="noStrike">
            <a:solidFill>
              <a:srgbClr val="008080"/>
            </a:solidFill>
            <a:latin typeface="Arial Narrow"/>
          </a:endParaRPr>
        </a:p>
      </xdr:txBody>
    </xdr:sp>
    <xdr:clientData/>
  </xdr:twoCellAnchor>
  <xdr:twoCellAnchor>
    <xdr:from>
      <xdr:col>8</xdr:col>
      <xdr:colOff>228600</xdr:colOff>
      <xdr:row>33</xdr:row>
      <xdr:rowOff>133350</xdr:rowOff>
    </xdr:from>
    <xdr:to>
      <xdr:col>8</xdr:col>
      <xdr:colOff>390525</xdr:colOff>
      <xdr:row>33</xdr:row>
      <xdr:rowOff>133350</xdr:rowOff>
    </xdr:to>
    <xdr:sp macro="" textlink="">
      <xdr:nvSpPr>
        <xdr:cNvPr id="73" name="Line 126">
          <a:extLst>
            <a:ext uri="{FF2B5EF4-FFF2-40B4-BE49-F238E27FC236}">
              <a16:creationId xmlns:a16="http://schemas.microsoft.com/office/drawing/2014/main" id="{2C85FF87-8A51-48A7-807B-D03C6EA504CF}"/>
            </a:ext>
          </a:extLst>
        </xdr:cNvPr>
        <xdr:cNvSpPr>
          <a:spLocks noChangeAspect="1" noChangeShapeType="1"/>
        </xdr:cNvSpPr>
      </xdr:nvSpPr>
      <xdr:spPr bwMode="auto">
        <a:xfrm>
          <a:off x="5105400" y="6238875"/>
          <a:ext cx="161925" cy="0"/>
        </a:xfrm>
        <a:prstGeom prst="line">
          <a:avLst/>
        </a:prstGeom>
        <a:noFill/>
        <a:ln w="9525">
          <a:solidFill>
            <a:srgbClr val="FFCC00"/>
          </a:solidFill>
          <a:round/>
          <a:headEnd/>
          <a:tailEnd/>
        </a:ln>
      </xdr:spPr>
    </xdr:sp>
    <xdr:clientData/>
  </xdr:twoCellAnchor>
  <xdr:twoCellAnchor>
    <xdr:from>
      <xdr:col>8</xdr:col>
      <xdr:colOff>314325</xdr:colOff>
      <xdr:row>33</xdr:row>
      <xdr:rowOff>28575</xdr:rowOff>
    </xdr:from>
    <xdr:to>
      <xdr:col>8</xdr:col>
      <xdr:colOff>390525</xdr:colOff>
      <xdr:row>34</xdr:row>
      <xdr:rowOff>85725</xdr:rowOff>
    </xdr:to>
    <xdr:sp macro="" textlink="">
      <xdr:nvSpPr>
        <xdr:cNvPr id="74" name="Rectangle 127">
          <a:extLst>
            <a:ext uri="{FF2B5EF4-FFF2-40B4-BE49-F238E27FC236}">
              <a16:creationId xmlns:a16="http://schemas.microsoft.com/office/drawing/2014/main" id="{5244611C-1403-4642-B12A-9FA11D2D1978}"/>
            </a:ext>
          </a:extLst>
        </xdr:cNvPr>
        <xdr:cNvSpPr>
          <a:spLocks noChangeAspect="1" noChangeArrowheads="1"/>
        </xdr:cNvSpPr>
      </xdr:nvSpPr>
      <xdr:spPr bwMode="auto">
        <a:xfrm>
          <a:off x="5191125" y="6134100"/>
          <a:ext cx="76200" cy="381000"/>
        </a:xfrm>
        <a:prstGeom prst="rect">
          <a:avLst/>
        </a:prstGeom>
        <a:solidFill>
          <a:srgbClr val="FF9900"/>
        </a:solidFill>
        <a:ln w="9525">
          <a:solidFill>
            <a:srgbClr val="FF9900"/>
          </a:solidFill>
          <a:miter lim="800000"/>
          <a:headEnd/>
          <a:tailEnd/>
        </a:ln>
      </xdr:spPr>
    </xdr:sp>
    <xdr:clientData/>
  </xdr:twoCellAnchor>
  <xdr:twoCellAnchor>
    <xdr:from>
      <xdr:col>8</xdr:col>
      <xdr:colOff>228600</xdr:colOff>
      <xdr:row>31</xdr:row>
      <xdr:rowOff>85725</xdr:rowOff>
    </xdr:from>
    <xdr:to>
      <xdr:col>8</xdr:col>
      <xdr:colOff>457200</xdr:colOff>
      <xdr:row>32</xdr:row>
      <xdr:rowOff>123825</xdr:rowOff>
    </xdr:to>
    <xdr:sp macro="" textlink="">
      <xdr:nvSpPr>
        <xdr:cNvPr id="75" name="Freeform 128">
          <a:extLst>
            <a:ext uri="{FF2B5EF4-FFF2-40B4-BE49-F238E27FC236}">
              <a16:creationId xmlns:a16="http://schemas.microsoft.com/office/drawing/2014/main" id="{95D42E2F-AED3-4339-B4F1-D360FA9B5945}"/>
            </a:ext>
          </a:extLst>
        </xdr:cNvPr>
        <xdr:cNvSpPr>
          <a:spLocks/>
        </xdr:cNvSpPr>
      </xdr:nvSpPr>
      <xdr:spPr bwMode="auto">
        <a:xfrm>
          <a:off x="5105400" y="5867400"/>
          <a:ext cx="228600" cy="200025"/>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9</xdr:col>
      <xdr:colOff>76200</xdr:colOff>
      <xdr:row>31</xdr:row>
      <xdr:rowOff>85725</xdr:rowOff>
    </xdr:from>
    <xdr:to>
      <xdr:col>11</xdr:col>
      <xdr:colOff>142875</xdr:colOff>
      <xdr:row>33</xdr:row>
      <xdr:rowOff>9525</xdr:rowOff>
    </xdr:to>
    <xdr:sp macro="" textlink="">
      <xdr:nvSpPr>
        <xdr:cNvPr id="76" name="Text Box 129">
          <a:extLst>
            <a:ext uri="{FF2B5EF4-FFF2-40B4-BE49-F238E27FC236}">
              <a16:creationId xmlns:a16="http://schemas.microsoft.com/office/drawing/2014/main" id="{60C9765C-3679-42F6-8A45-8976A43022CB}"/>
            </a:ext>
          </a:extLst>
        </xdr:cNvPr>
        <xdr:cNvSpPr txBox="1">
          <a:spLocks noChangeArrowheads="1"/>
        </xdr:cNvSpPr>
      </xdr:nvSpPr>
      <xdr:spPr bwMode="auto">
        <a:xfrm>
          <a:off x="5562600" y="5867400"/>
          <a:ext cx="1285875" cy="24765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000" b="0" i="0" strike="noStrike">
              <a:solidFill>
                <a:srgbClr val="000000"/>
              </a:solidFill>
              <a:latin typeface="Arial"/>
              <a:cs typeface="Arial"/>
            </a:rPr>
            <a:t>SC/UPC Connector</a:t>
          </a:r>
        </a:p>
        <a:p>
          <a:pPr algn="l" rtl="0">
            <a:defRPr sz="1000"/>
          </a:pPr>
          <a:endParaRPr lang="en-US" sz="1000" b="0" i="0" strike="noStrike">
            <a:solidFill>
              <a:srgbClr val="000000"/>
            </a:solidFill>
            <a:latin typeface="Arial"/>
            <a:cs typeface="Arial"/>
          </a:endParaRPr>
        </a:p>
      </xdr:txBody>
    </xdr:sp>
    <xdr:clientData/>
  </xdr:twoCellAnchor>
  <xdr:twoCellAnchor>
    <xdr:from>
      <xdr:col>2</xdr:col>
      <xdr:colOff>228600</xdr:colOff>
      <xdr:row>26</xdr:row>
      <xdr:rowOff>57150</xdr:rowOff>
    </xdr:from>
    <xdr:to>
      <xdr:col>2</xdr:col>
      <xdr:colOff>457200</xdr:colOff>
      <xdr:row>27</xdr:row>
      <xdr:rowOff>123825</xdr:rowOff>
    </xdr:to>
    <xdr:grpSp>
      <xdr:nvGrpSpPr>
        <xdr:cNvPr id="77" name="Group 136">
          <a:extLst>
            <a:ext uri="{FF2B5EF4-FFF2-40B4-BE49-F238E27FC236}">
              <a16:creationId xmlns:a16="http://schemas.microsoft.com/office/drawing/2014/main" id="{037B856B-DD56-44F9-AD20-47002171658A}"/>
            </a:ext>
          </a:extLst>
        </xdr:cNvPr>
        <xdr:cNvGrpSpPr>
          <a:grpSpLocks/>
        </xdr:cNvGrpSpPr>
      </xdr:nvGrpSpPr>
      <xdr:grpSpPr bwMode="auto">
        <a:xfrm>
          <a:off x="1438835" y="5525621"/>
          <a:ext cx="228600" cy="257175"/>
          <a:chOff x="528" y="2688"/>
          <a:chExt cx="145" cy="144"/>
        </a:xfrm>
      </xdr:grpSpPr>
      <xdr:sp macro="" textlink="">
        <xdr:nvSpPr>
          <xdr:cNvPr id="78" name="Freeform 137">
            <a:extLst>
              <a:ext uri="{FF2B5EF4-FFF2-40B4-BE49-F238E27FC236}">
                <a16:creationId xmlns:a16="http://schemas.microsoft.com/office/drawing/2014/main" id="{9177D153-1DE0-42C8-92D1-8248763703E7}"/>
              </a:ext>
            </a:extLst>
          </xdr:cNvPr>
          <xdr:cNvSpPr>
            <a:spLocks/>
          </xdr:cNvSpPr>
        </xdr:nvSpPr>
        <xdr:spPr bwMode="auto">
          <a:xfrm>
            <a:off x="528" y="2688"/>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00FF"/>
          </a:solidFill>
          <a:ln w="9525">
            <a:solidFill>
              <a:srgbClr val="000000"/>
            </a:solidFill>
            <a:round/>
            <a:headEnd/>
            <a:tailEnd/>
          </a:ln>
        </xdr:spPr>
      </xdr:sp>
      <xdr:sp macro="" textlink="">
        <xdr:nvSpPr>
          <xdr:cNvPr id="79" name="Line 138">
            <a:extLst>
              <a:ext uri="{FF2B5EF4-FFF2-40B4-BE49-F238E27FC236}">
                <a16:creationId xmlns:a16="http://schemas.microsoft.com/office/drawing/2014/main" id="{E99CD1D5-39F0-48F2-9CEA-015AEC716CD5}"/>
              </a:ext>
            </a:extLst>
          </xdr:cNvPr>
          <xdr:cNvSpPr>
            <a:spLocks noChangeShapeType="1"/>
          </xdr:cNvSpPr>
        </xdr:nvSpPr>
        <xdr:spPr bwMode="auto">
          <a:xfrm>
            <a:off x="576" y="2736"/>
            <a:ext cx="48" cy="48"/>
          </a:xfrm>
          <a:prstGeom prst="line">
            <a:avLst/>
          </a:prstGeom>
          <a:noFill/>
          <a:ln w="9525">
            <a:solidFill>
              <a:srgbClr val="000000"/>
            </a:solidFill>
            <a:round/>
            <a:headEnd/>
            <a:tailEnd/>
          </a:ln>
        </xdr:spPr>
      </xdr:sp>
    </xdr:grpSp>
    <xdr:clientData/>
  </xdr:twoCellAnchor>
  <xdr:twoCellAnchor>
    <xdr:from>
      <xdr:col>8</xdr:col>
      <xdr:colOff>204788</xdr:colOff>
      <xdr:row>29</xdr:row>
      <xdr:rowOff>23815</xdr:rowOff>
    </xdr:from>
    <xdr:to>
      <xdr:col>8</xdr:col>
      <xdr:colOff>500063</xdr:colOff>
      <xdr:row>30</xdr:row>
      <xdr:rowOff>9528</xdr:rowOff>
    </xdr:to>
    <xdr:sp macro="" textlink="">
      <xdr:nvSpPr>
        <xdr:cNvPr id="80" name="Freeform 155">
          <a:extLst>
            <a:ext uri="{FF2B5EF4-FFF2-40B4-BE49-F238E27FC236}">
              <a16:creationId xmlns:a16="http://schemas.microsoft.com/office/drawing/2014/main" id="{3E5692A9-75CA-4BF9-97C9-D6D42BF637E5}"/>
            </a:ext>
          </a:extLst>
        </xdr:cNvPr>
        <xdr:cNvSpPr>
          <a:spLocks/>
        </xdr:cNvSpPr>
      </xdr:nvSpPr>
      <xdr:spPr bwMode="auto">
        <a:xfrm>
          <a:off x="5081588" y="5319715"/>
          <a:ext cx="295275" cy="309563"/>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clientData/>
  </xdr:twoCellAnchor>
  <xdr:twoCellAnchor>
    <xdr:from>
      <xdr:col>8</xdr:col>
      <xdr:colOff>304800</xdr:colOff>
      <xdr:row>29</xdr:row>
      <xdr:rowOff>138116</xdr:rowOff>
    </xdr:from>
    <xdr:to>
      <xdr:col>8</xdr:col>
      <xdr:colOff>381000</xdr:colOff>
      <xdr:row>29</xdr:row>
      <xdr:rowOff>214316</xdr:rowOff>
    </xdr:to>
    <xdr:sp macro="" textlink="">
      <xdr:nvSpPr>
        <xdr:cNvPr id="81" name="Line 156">
          <a:extLst>
            <a:ext uri="{FF2B5EF4-FFF2-40B4-BE49-F238E27FC236}">
              <a16:creationId xmlns:a16="http://schemas.microsoft.com/office/drawing/2014/main" id="{11049D2B-63D6-4A07-BED6-B5D973E96747}"/>
            </a:ext>
          </a:extLst>
        </xdr:cNvPr>
        <xdr:cNvSpPr>
          <a:spLocks noChangeShapeType="1"/>
        </xdr:cNvSpPr>
      </xdr:nvSpPr>
      <xdr:spPr bwMode="auto">
        <a:xfrm>
          <a:off x="5181600" y="5434016"/>
          <a:ext cx="76200" cy="76200"/>
        </a:xfrm>
        <a:prstGeom prst="line">
          <a:avLst/>
        </a:prstGeom>
        <a:noFill/>
        <a:ln w="9525">
          <a:solidFill>
            <a:srgbClr val="000000"/>
          </a:solidFill>
          <a:round/>
          <a:headEnd/>
          <a:tailEnd/>
        </a:ln>
      </xdr:spPr>
    </xdr:sp>
    <xdr:clientData/>
  </xdr:twoCellAnchor>
  <xdr:twoCellAnchor>
    <xdr:from>
      <xdr:col>3</xdr:col>
      <xdr:colOff>381000</xdr:colOff>
      <xdr:row>26</xdr:row>
      <xdr:rowOff>57150</xdr:rowOff>
    </xdr:from>
    <xdr:to>
      <xdr:col>4</xdr:col>
      <xdr:colOff>0</xdr:colOff>
      <xdr:row>27</xdr:row>
      <xdr:rowOff>123825</xdr:rowOff>
    </xdr:to>
    <xdr:grpSp>
      <xdr:nvGrpSpPr>
        <xdr:cNvPr id="82" name="Group 160">
          <a:extLst>
            <a:ext uri="{FF2B5EF4-FFF2-40B4-BE49-F238E27FC236}">
              <a16:creationId xmlns:a16="http://schemas.microsoft.com/office/drawing/2014/main" id="{D37173FB-098D-4317-8DE9-DE3CE84ED164}"/>
            </a:ext>
          </a:extLst>
        </xdr:cNvPr>
        <xdr:cNvGrpSpPr>
          <a:grpSpLocks/>
        </xdr:cNvGrpSpPr>
      </xdr:nvGrpSpPr>
      <xdr:grpSpPr bwMode="auto">
        <a:xfrm>
          <a:off x="2196353" y="5525621"/>
          <a:ext cx="224118" cy="257175"/>
          <a:chOff x="528" y="2688"/>
          <a:chExt cx="145" cy="144"/>
        </a:xfrm>
      </xdr:grpSpPr>
      <xdr:sp macro="" textlink="">
        <xdr:nvSpPr>
          <xdr:cNvPr id="83" name="Freeform 161">
            <a:extLst>
              <a:ext uri="{FF2B5EF4-FFF2-40B4-BE49-F238E27FC236}">
                <a16:creationId xmlns:a16="http://schemas.microsoft.com/office/drawing/2014/main" id="{A5E2D653-D558-474E-9A67-0B598F5379EE}"/>
              </a:ext>
            </a:extLst>
          </xdr:cNvPr>
          <xdr:cNvSpPr>
            <a:spLocks/>
          </xdr:cNvSpPr>
        </xdr:nvSpPr>
        <xdr:spPr bwMode="auto">
          <a:xfrm>
            <a:off x="528" y="2688"/>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00FF"/>
          </a:solidFill>
          <a:ln w="9525">
            <a:solidFill>
              <a:srgbClr val="000000"/>
            </a:solidFill>
            <a:round/>
            <a:headEnd/>
            <a:tailEnd/>
          </a:ln>
        </xdr:spPr>
      </xdr:sp>
      <xdr:sp macro="" textlink="">
        <xdr:nvSpPr>
          <xdr:cNvPr id="84" name="Line 162">
            <a:extLst>
              <a:ext uri="{FF2B5EF4-FFF2-40B4-BE49-F238E27FC236}">
                <a16:creationId xmlns:a16="http://schemas.microsoft.com/office/drawing/2014/main" id="{3D35BD49-DCCD-417A-B07D-03AAD1D684EF}"/>
              </a:ext>
            </a:extLst>
          </xdr:cNvPr>
          <xdr:cNvSpPr>
            <a:spLocks noChangeShapeType="1"/>
          </xdr:cNvSpPr>
        </xdr:nvSpPr>
        <xdr:spPr bwMode="auto">
          <a:xfrm>
            <a:off x="576" y="2736"/>
            <a:ext cx="48" cy="48"/>
          </a:xfrm>
          <a:prstGeom prst="line">
            <a:avLst/>
          </a:prstGeom>
          <a:noFill/>
          <a:ln w="9525">
            <a:solidFill>
              <a:srgbClr val="000000"/>
            </a:solidFill>
            <a:round/>
            <a:headEnd/>
            <a:tailEnd/>
          </a:ln>
        </xdr:spPr>
      </xdr:sp>
    </xdr:grpSp>
    <xdr:clientData/>
  </xdr:twoCellAnchor>
  <xdr:twoCellAnchor editAs="oneCell">
    <xdr:from>
      <xdr:col>7</xdr:col>
      <xdr:colOff>142875</xdr:colOff>
      <xdr:row>19</xdr:row>
      <xdr:rowOff>76200</xdr:rowOff>
    </xdr:from>
    <xdr:to>
      <xdr:col>7</xdr:col>
      <xdr:colOff>142875</xdr:colOff>
      <xdr:row>20</xdr:row>
      <xdr:rowOff>57149</xdr:rowOff>
    </xdr:to>
    <xdr:sp macro="" textlink="">
      <xdr:nvSpPr>
        <xdr:cNvPr id="85" name="Rectangle 165">
          <a:extLst>
            <a:ext uri="{FF2B5EF4-FFF2-40B4-BE49-F238E27FC236}">
              <a16:creationId xmlns:a16="http://schemas.microsoft.com/office/drawing/2014/main" id="{BC5F40C6-22DF-41E2-B1D1-8FDF60495B9A}"/>
            </a:ext>
          </a:extLst>
        </xdr:cNvPr>
        <xdr:cNvSpPr>
          <a:spLocks noChangeArrowheads="1"/>
        </xdr:cNvSpPr>
      </xdr:nvSpPr>
      <xdr:spPr bwMode="auto">
        <a:xfrm>
          <a:off x="4410075" y="3429000"/>
          <a:ext cx="0" cy="171449"/>
        </a:xfrm>
        <a:prstGeom prst="rect">
          <a:avLst/>
        </a:prstGeom>
        <a:noFill/>
        <a:ln w="9525">
          <a:noFill/>
          <a:miter lim="800000"/>
          <a:headEnd/>
          <a:tailEnd/>
        </a:ln>
      </xdr:spPr>
    </xdr:sp>
    <xdr:clientData/>
  </xdr:twoCellAnchor>
  <xdr:twoCellAnchor>
    <xdr:from>
      <xdr:col>5</xdr:col>
      <xdr:colOff>485775</xdr:colOff>
      <xdr:row>13</xdr:row>
      <xdr:rowOff>0</xdr:rowOff>
    </xdr:from>
    <xdr:to>
      <xdr:col>6</xdr:col>
      <xdr:colOff>571500</xdr:colOff>
      <xdr:row>19</xdr:row>
      <xdr:rowOff>76200</xdr:rowOff>
    </xdr:to>
    <xdr:sp macro="" textlink="">
      <xdr:nvSpPr>
        <xdr:cNvPr id="86" name="Line 167">
          <a:extLst>
            <a:ext uri="{FF2B5EF4-FFF2-40B4-BE49-F238E27FC236}">
              <a16:creationId xmlns:a16="http://schemas.microsoft.com/office/drawing/2014/main" id="{30DBDCD6-A19E-4000-B1A1-8BF4157AD967}"/>
            </a:ext>
          </a:extLst>
        </xdr:cNvPr>
        <xdr:cNvSpPr>
          <a:spLocks noChangeShapeType="1"/>
        </xdr:cNvSpPr>
      </xdr:nvSpPr>
      <xdr:spPr bwMode="auto">
        <a:xfrm flipH="1" flipV="1">
          <a:off x="3533775" y="2381250"/>
          <a:ext cx="695325" cy="1047750"/>
        </a:xfrm>
        <a:prstGeom prst="line">
          <a:avLst/>
        </a:prstGeom>
        <a:noFill/>
        <a:ln w="25400">
          <a:solidFill>
            <a:srgbClr val="FF0000"/>
          </a:solidFill>
          <a:round/>
          <a:headEnd/>
          <a:tailEnd type="triangle" w="med" len="lg"/>
        </a:ln>
      </xdr:spPr>
    </xdr:sp>
    <xdr:clientData/>
  </xdr:twoCellAnchor>
  <xdr:twoCellAnchor>
    <xdr:from>
      <xdr:col>8</xdr:col>
      <xdr:colOff>295275</xdr:colOff>
      <xdr:row>12</xdr:row>
      <xdr:rowOff>38100</xdr:rowOff>
    </xdr:from>
    <xdr:to>
      <xdr:col>8</xdr:col>
      <xdr:colOff>381000</xdr:colOff>
      <xdr:row>12</xdr:row>
      <xdr:rowOff>123825</xdr:rowOff>
    </xdr:to>
    <xdr:sp macro="" textlink="">
      <xdr:nvSpPr>
        <xdr:cNvPr id="87" name="Freeform 171">
          <a:extLst>
            <a:ext uri="{FF2B5EF4-FFF2-40B4-BE49-F238E27FC236}">
              <a16:creationId xmlns:a16="http://schemas.microsoft.com/office/drawing/2014/main" id="{4D00EF23-CBA8-49D7-AD9F-FFE9ECCFDE4F}"/>
            </a:ext>
          </a:extLst>
        </xdr:cNvPr>
        <xdr:cNvSpPr>
          <a:spLocks/>
        </xdr:cNvSpPr>
      </xdr:nvSpPr>
      <xdr:spPr bwMode="auto">
        <a:xfrm>
          <a:off x="5172075" y="209550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8</xdr:col>
      <xdr:colOff>104775</xdr:colOff>
      <xdr:row>6</xdr:row>
      <xdr:rowOff>123825</xdr:rowOff>
    </xdr:from>
    <xdr:to>
      <xdr:col>8</xdr:col>
      <xdr:colOff>228600</xdr:colOff>
      <xdr:row>11</xdr:row>
      <xdr:rowOff>114300</xdr:rowOff>
    </xdr:to>
    <xdr:sp macro="" textlink="">
      <xdr:nvSpPr>
        <xdr:cNvPr id="88" name="Line 173">
          <a:extLst>
            <a:ext uri="{FF2B5EF4-FFF2-40B4-BE49-F238E27FC236}">
              <a16:creationId xmlns:a16="http://schemas.microsoft.com/office/drawing/2014/main" id="{D428567D-FEFA-4E3F-9363-070955480751}"/>
            </a:ext>
          </a:extLst>
        </xdr:cNvPr>
        <xdr:cNvSpPr>
          <a:spLocks noChangeShapeType="1"/>
        </xdr:cNvSpPr>
      </xdr:nvSpPr>
      <xdr:spPr bwMode="auto">
        <a:xfrm>
          <a:off x="4981575" y="1209675"/>
          <a:ext cx="123825" cy="800100"/>
        </a:xfrm>
        <a:prstGeom prst="line">
          <a:avLst/>
        </a:prstGeom>
        <a:noFill/>
        <a:ln w="9525">
          <a:solidFill>
            <a:srgbClr val="000000"/>
          </a:solidFill>
          <a:round/>
          <a:headEnd/>
          <a:tailEnd type="triangle" w="med" len="med"/>
        </a:ln>
      </xdr:spPr>
    </xdr:sp>
    <xdr:clientData/>
  </xdr:twoCellAnchor>
  <xdr:oneCellAnchor>
    <xdr:from>
      <xdr:col>6</xdr:col>
      <xdr:colOff>426245</xdr:colOff>
      <xdr:row>1</xdr:row>
      <xdr:rowOff>88106</xdr:rowOff>
    </xdr:from>
    <xdr:ext cx="1952625" cy="442429"/>
    <xdr:sp macro="" textlink="">
      <xdr:nvSpPr>
        <xdr:cNvPr id="89" name="Rectangle 174">
          <a:extLst>
            <a:ext uri="{FF2B5EF4-FFF2-40B4-BE49-F238E27FC236}">
              <a16:creationId xmlns:a16="http://schemas.microsoft.com/office/drawing/2014/main" id="{A92F49D8-5807-4C69-BED9-82F22F6170EB}"/>
            </a:ext>
          </a:extLst>
        </xdr:cNvPr>
        <xdr:cNvSpPr>
          <a:spLocks noChangeArrowheads="1"/>
        </xdr:cNvSpPr>
      </xdr:nvSpPr>
      <xdr:spPr bwMode="auto">
        <a:xfrm>
          <a:off x="4083845" y="316706"/>
          <a:ext cx="1952625" cy="442429"/>
        </a:xfrm>
        <a:prstGeom prst="rect">
          <a:avLst/>
        </a:prstGeom>
        <a:noFill/>
        <a:ln w="9525">
          <a:noFill/>
          <a:miter lim="800000"/>
          <a:headEnd/>
          <a:tailEnd/>
        </a:ln>
      </xdr:spPr>
      <xdr:txBody>
        <a:bodyPr wrap="square" lIns="0" tIns="0" rIns="0" bIns="0" anchor="t" upright="1">
          <a:spAutoFit/>
        </a:bodyPr>
        <a:lstStyle/>
        <a:p>
          <a:pPr algn="l" rtl="0">
            <a:defRPr sz="1000"/>
          </a:pPr>
          <a:r>
            <a:rPr lang="en-US" sz="1000" b="0" i="0" strike="noStrike">
              <a:solidFill>
                <a:srgbClr val="FF0000"/>
              </a:solidFill>
              <a:latin typeface="Arial"/>
              <a:cs typeface="Arial"/>
            </a:rPr>
            <a:t>User</a:t>
          </a:r>
          <a:r>
            <a:rPr lang="en-US" sz="1000" b="0" i="0" strike="noStrike" baseline="0">
              <a:solidFill>
                <a:srgbClr val="FF0000"/>
              </a:solidFill>
              <a:latin typeface="Arial"/>
              <a:cs typeface="Arial"/>
            </a:rPr>
            <a:t> Inputs - </a:t>
          </a:r>
          <a:r>
            <a:rPr lang="en-US" sz="1000" b="0" i="0" strike="noStrike">
              <a:solidFill>
                <a:srgbClr val="FF0000"/>
              </a:solidFill>
              <a:latin typeface="Arial"/>
              <a:cs typeface="Arial"/>
            </a:rPr>
            <a:t>Backbone Feeder Splice Spacing</a:t>
          </a:r>
        </a:p>
        <a:p>
          <a:pPr algn="l" rtl="0">
            <a:defRPr sz="1000"/>
          </a:pPr>
          <a:r>
            <a:rPr lang="en-US" sz="1000" b="0" i="0" strike="noStrike">
              <a:solidFill>
                <a:srgbClr val="FF0000"/>
              </a:solidFill>
              <a:latin typeface="Arial"/>
              <a:cs typeface="Arial"/>
            </a:rPr>
            <a:t> - default modeled every 4000 feet</a:t>
          </a:r>
        </a:p>
      </xdr:txBody>
    </xdr:sp>
    <xdr:clientData/>
  </xdr:oneCellAnchor>
  <xdr:twoCellAnchor>
    <xdr:from>
      <xdr:col>6</xdr:col>
      <xdr:colOff>314325</xdr:colOff>
      <xdr:row>2</xdr:row>
      <xdr:rowOff>142875</xdr:rowOff>
    </xdr:from>
    <xdr:to>
      <xdr:col>7</xdr:col>
      <xdr:colOff>581025</xdr:colOff>
      <xdr:row>12</xdr:row>
      <xdr:rowOff>28575</xdr:rowOff>
    </xdr:to>
    <xdr:sp macro="" textlink="">
      <xdr:nvSpPr>
        <xdr:cNvPr id="90" name="Line 175">
          <a:extLst>
            <a:ext uri="{FF2B5EF4-FFF2-40B4-BE49-F238E27FC236}">
              <a16:creationId xmlns:a16="http://schemas.microsoft.com/office/drawing/2014/main" id="{45A34F7E-A1E4-4299-A6C9-A9B5BE37B14A}"/>
            </a:ext>
          </a:extLst>
        </xdr:cNvPr>
        <xdr:cNvSpPr>
          <a:spLocks noChangeShapeType="1"/>
        </xdr:cNvSpPr>
      </xdr:nvSpPr>
      <xdr:spPr bwMode="auto">
        <a:xfrm>
          <a:off x="3971925" y="581025"/>
          <a:ext cx="876300" cy="1504950"/>
        </a:xfrm>
        <a:prstGeom prst="line">
          <a:avLst/>
        </a:prstGeom>
        <a:noFill/>
        <a:ln w="25400">
          <a:solidFill>
            <a:srgbClr val="FF0000"/>
          </a:solidFill>
          <a:round/>
          <a:headEnd/>
          <a:tailEnd type="triangle" w="med" len="lg"/>
        </a:ln>
      </xdr:spPr>
    </xdr:sp>
    <xdr:clientData/>
  </xdr:twoCellAnchor>
  <xdr:oneCellAnchor>
    <xdr:from>
      <xdr:col>9</xdr:col>
      <xdr:colOff>495300</xdr:colOff>
      <xdr:row>1</xdr:row>
      <xdr:rowOff>114300</xdr:rowOff>
    </xdr:from>
    <xdr:ext cx="1682127" cy="294953"/>
    <xdr:sp macro="" textlink="">
      <xdr:nvSpPr>
        <xdr:cNvPr id="91" name="Rectangle 176">
          <a:extLst>
            <a:ext uri="{FF2B5EF4-FFF2-40B4-BE49-F238E27FC236}">
              <a16:creationId xmlns:a16="http://schemas.microsoft.com/office/drawing/2014/main" id="{FDA6EF2F-01A8-44AA-BD19-29A0E494BF3A}"/>
            </a:ext>
          </a:extLst>
        </xdr:cNvPr>
        <xdr:cNvSpPr>
          <a:spLocks noChangeArrowheads="1"/>
        </xdr:cNvSpPr>
      </xdr:nvSpPr>
      <xdr:spPr bwMode="auto">
        <a:xfrm>
          <a:off x="5981700" y="342900"/>
          <a:ext cx="1682127" cy="294953"/>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Lateral Feeder Splice at PFP.</a:t>
          </a:r>
        </a:p>
        <a:p>
          <a:pPr algn="l" rtl="0">
            <a:defRPr sz="1000"/>
          </a:pPr>
          <a:r>
            <a:rPr lang="en-US" sz="1000" b="0" i="0" strike="noStrike">
              <a:solidFill>
                <a:srgbClr val="000000"/>
              </a:solidFill>
              <a:latin typeface="Arial"/>
              <a:cs typeface="Arial"/>
            </a:rPr>
            <a:t>1 Every PFP</a:t>
          </a:r>
        </a:p>
      </xdr:txBody>
    </xdr:sp>
    <xdr:clientData/>
  </xdr:oneCellAnchor>
  <xdr:twoCellAnchor>
    <xdr:from>
      <xdr:col>10</xdr:col>
      <xdr:colOff>228600</xdr:colOff>
      <xdr:row>5</xdr:row>
      <xdr:rowOff>47625</xdr:rowOff>
    </xdr:from>
    <xdr:to>
      <xdr:col>10</xdr:col>
      <xdr:colOff>257175</xdr:colOff>
      <xdr:row>10</xdr:row>
      <xdr:rowOff>47625</xdr:rowOff>
    </xdr:to>
    <xdr:sp macro="" textlink="">
      <xdr:nvSpPr>
        <xdr:cNvPr id="92" name="Line 180">
          <a:extLst>
            <a:ext uri="{FF2B5EF4-FFF2-40B4-BE49-F238E27FC236}">
              <a16:creationId xmlns:a16="http://schemas.microsoft.com/office/drawing/2014/main" id="{7B87DF9D-46E9-4FC4-9E5F-4A78525E8ED9}"/>
            </a:ext>
          </a:extLst>
        </xdr:cNvPr>
        <xdr:cNvSpPr>
          <a:spLocks noChangeShapeType="1"/>
        </xdr:cNvSpPr>
      </xdr:nvSpPr>
      <xdr:spPr bwMode="auto">
        <a:xfrm flipH="1">
          <a:off x="6324600" y="971550"/>
          <a:ext cx="28575" cy="809625"/>
        </a:xfrm>
        <a:prstGeom prst="line">
          <a:avLst/>
        </a:prstGeom>
        <a:noFill/>
        <a:ln w="9525">
          <a:solidFill>
            <a:srgbClr val="000000"/>
          </a:solidFill>
          <a:round/>
          <a:headEnd/>
          <a:tailEnd type="triangle" w="med" len="med"/>
        </a:ln>
      </xdr:spPr>
    </xdr:sp>
    <xdr:clientData/>
  </xdr:twoCellAnchor>
  <xdr:oneCellAnchor>
    <xdr:from>
      <xdr:col>9</xdr:col>
      <xdr:colOff>219075</xdr:colOff>
      <xdr:row>16</xdr:row>
      <xdr:rowOff>47625</xdr:rowOff>
    </xdr:from>
    <xdr:ext cx="825867" cy="534762"/>
    <xdr:sp macro="" textlink="">
      <xdr:nvSpPr>
        <xdr:cNvPr id="93" name="Text Box 181">
          <a:extLst>
            <a:ext uri="{FF2B5EF4-FFF2-40B4-BE49-F238E27FC236}">
              <a16:creationId xmlns:a16="http://schemas.microsoft.com/office/drawing/2014/main" id="{912408DC-58D5-4CDE-8A6A-C3C2E908A9AB}"/>
            </a:ext>
          </a:extLst>
        </xdr:cNvPr>
        <xdr:cNvSpPr txBox="1">
          <a:spLocks noChangeArrowheads="1"/>
        </xdr:cNvSpPr>
      </xdr:nvSpPr>
      <xdr:spPr bwMode="auto">
        <a:xfrm>
          <a:off x="5705475" y="2914650"/>
          <a:ext cx="825867" cy="534762"/>
        </a:xfrm>
        <a:prstGeom prst="rect">
          <a:avLst/>
        </a:prstGeom>
        <a:noFill/>
        <a:ln w="9525">
          <a:noFill/>
          <a:miter lim="800000"/>
          <a:headEnd/>
          <a:tailEnd/>
        </a:ln>
      </xdr:spPr>
      <xdr:txBody>
        <a:bodyPr wrap="none" lIns="91440" tIns="45720" rIns="91440" bIns="45720" anchor="t" upright="1">
          <a:spAutoFit/>
        </a:bodyPr>
        <a:lstStyle/>
        <a:p>
          <a:pPr algn="l" rtl="0">
            <a:defRPr sz="1000"/>
          </a:pPr>
          <a:r>
            <a:rPr lang="en-US" sz="1000" b="0" i="0" strike="noStrike">
              <a:solidFill>
                <a:srgbClr val="000000"/>
              </a:solidFill>
              <a:latin typeface="Times New Roman"/>
              <a:cs typeface="Times New Roman"/>
            </a:rPr>
            <a:t>Early FTTP </a:t>
          </a:r>
        </a:p>
        <a:p>
          <a:pPr algn="l" rtl="0">
            <a:defRPr sz="1000"/>
          </a:pPr>
          <a:r>
            <a:rPr lang="en-US" sz="1000" b="0" i="0" strike="noStrike">
              <a:solidFill>
                <a:srgbClr val="000000"/>
              </a:solidFill>
              <a:latin typeface="Times New Roman"/>
              <a:cs typeface="Times New Roman"/>
            </a:rPr>
            <a:t>used</a:t>
          </a:r>
        </a:p>
        <a:p>
          <a:pPr algn="l" rtl="0">
            <a:defRPr sz="1000"/>
          </a:pPr>
          <a:r>
            <a:rPr lang="en-US" sz="1000" b="0" i="0" strike="noStrike">
              <a:solidFill>
                <a:srgbClr val="000000"/>
              </a:solidFill>
              <a:latin typeface="Times New Roman"/>
              <a:cs typeface="Times New Roman"/>
            </a:rPr>
            <a:t>Splice </a:t>
          </a:r>
        </a:p>
      </xdr:txBody>
    </xdr:sp>
    <xdr:clientData/>
  </xdr:oneCellAnchor>
  <xdr:twoCellAnchor>
    <xdr:from>
      <xdr:col>9</xdr:col>
      <xdr:colOff>228600</xdr:colOff>
      <xdr:row>12</xdr:row>
      <xdr:rowOff>152400</xdr:rowOff>
    </xdr:from>
    <xdr:to>
      <xdr:col>10</xdr:col>
      <xdr:colOff>180975</xdr:colOff>
      <xdr:row>16</xdr:row>
      <xdr:rowOff>28575</xdr:rowOff>
    </xdr:to>
    <xdr:sp macro="" textlink="">
      <xdr:nvSpPr>
        <xdr:cNvPr id="94" name="Line 182">
          <a:extLst>
            <a:ext uri="{FF2B5EF4-FFF2-40B4-BE49-F238E27FC236}">
              <a16:creationId xmlns:a16="http://schemas.microsoft.com/office/drawing/2014/main" id="{378080FD-2B0B-446F-800B-7917D86F9452}"/>
            </a:ext>
          </a:extLst>
        </xdr:cNvPr>
        <xdr:cNvSpPr>
          <a:spLocks noChangeShapeType="1"/>
        </xdr:cNvSpPr>
      </xdr:nvSpPr>
      <xdr:spPr bwMode="auto">
        <a:xfrm flipV="1">
          <a:off x="5715000" y="2209800"/>
          <a:ext cx="561975" cy="685800"/>
        </a:xfrm>
        <a:prstGeom prst="line">
          <a:avLst/>
        </a:prstGeom>
        <a:noFill/>
        <a:ln w="25400">
          <a:solidFill>
            <a:srgbClr val="FF0000"/>
          </a:solidFill>
          <a:round/>
          <a:headEnd/>
          <a:tailEnd type="triangle" w="med" len="lg"/>
        </a:ln>
      </xdr:spPr>
    </xdr:sp>
    <xdr:clientData/>
  </xdr:twoCellAnchor>
  <xdr:oneCellAnchor>
    <xdr:from>
      <xdr:col>15</xdr:col>
      <xdr:colOff>304800</xdr:colOff>
      <xdr:row>0</xdr:row>
      <xdr:rowOff>104775</xdr:rowOff>
    </xdr:from>
    <xdr:ext cx="65" cy="147476"/>
    <xdr:sp macro="" textlink="">
      <xdr:nvSpPr>
        <xdr:cNvPr id="95" name="Rectangle 184">
          <a:extLst>
            <a:ext uri="{FF2B5EF4-FFF2-40B4-BE49-F238E27FC236}">
              <a16:creationId xmlns:a16="http://schemas.microsoft.com/office/drawing/2014/main" id="{67AE2EAD-68DF-4428-BD87-FCEC705EFD91}"/>
            </a:ext>
          </a:extLst>
        </xdr:cNvPr>
        <xdr:cNvSpPr>
          <a:spLocks noChangeArrowheads="1"/>
        </xdr:cNvSpPr>
      </xdr:nvSpPr>
      <xdr:spPr bwMode="auto">
        <a:xfrm>
          <a:off x="9448800" y="104775"/>
          <a:ext cx="65" cy="147476"/>
        </a:xfrm>
        <a:prstGeom prst="rect">
          <a:avLst/>
        </a:prstGeom>
        <a:noFill/>
        <a:ln w="9525">
          <a:noFill/>
          <a:miter lim="800000"/>
          <a:headEnd/>
          <a:tailEnd/>
        </a:ln>
      </xdr:spPr>
      <xdr:txBody>
        <a:bodyPr wrap="none" lIns="0" tIns="0" rIns="0" bIns="0" anchor="t" upright="1">
          <a:spAutoFit/>
        </a:bodyPr>
        <a:lstStyle/>
        <a:p>
          <a:pPr algn="l" rtl="0">
            <a:defRPr sz="1000"/>
          </a:pPr>
          <a:endParaRPr lang="en-US" sz="1000" b="0" i="0" strike="noStrike">
            <a:solidFill>
              <a:srgbClr val="000000"/>
            </a:solidFill>
            <a:latin typeface="Arial"/>
            <a:cs typeface="Arial"/>
          </a:endParaRPr>
        </a:p>
      </xdr:txBody>
    </xdr:sp>
    <xdr:clientData/>
  </xdr:oneCellAnchor>
  <xdr:twoCellAnchor>
    <xdr:from>
      <xdr:col>16</xdr:col>
      <xdr:colOff>47624</xdr:colOff>
      <xdr:row>4</xdr:row>
      <xdr:rowOff>47624</xdr:rowOff>
    </xdr:from>
    <xdr:to>
      <xdr:col>16</xdr:col>
      <xdr:colOff>266699</xdr:colOff>
      <xdr:row>11</xdr:row>
      <xdr:rowOff>85724</xdr:rowOff>
    </xdr:to>
    <xdr:sp macro="" textlink="">
      <xdr:nvSpPr>
        <xdr:cNvPr id="96" name="Line 185">
          <a:extLst>
            <a:ext uri="{FF2B5EF4-FFF2-40B4-BE49-F238E27FC236}">
              <a16:creationId xmlns:a16="http://schemas.microsoft.com/office/drawing/2014/main" id="{61550354-E777-4981-90EB-85C37F69D094}"/>
            </a:ext>
          </a:extLst>
        </xdr:cNvPr>
        <xdr:cNvSpPr>
          <a:spLocks noChangeShapeType="1"/>
        </xdr:cNvSpPr>
      </xdr:nvSpPr>
      <xdr:spPr bwMode="auto">
        <a:xfrm flipH="1">
          <a:off x="9801224" y="809624"/>
          <a:ext cx="219075" cy="1171575"/>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7</xdr:col>
      <xdr:colOff>295275</xdr:colOff>
      <xdr:row>19</xdr:row>
      <xdr:rowOff>76200</xdr:rowOff>
    </xdr:from>
    <xdr:to>
      <xdr:col>9</xdr:col>
      <xdr:colOff>314325</xdr:colOff>
      <xdr:row>20</xdr:row>
      <xdr:rowOff>76200</xdr:rowOff>
    </xdr:to>
    <xdr:sp macro="" textlink="">
      <xdr:nvSpPr>
        <xdr:cNvPr id="97" name="AutoShape 186">
          <a:extLst>
            <a:ext uri="{FF2B5EF4-FFF2-40B4-BE49-F238E27FC236}">
              <a16:creationId xmlns:a16="http://schemas.microsoft.com/office/drawing/2014/main" id="{0573424B-3D5D-490E-8A10-F2D762EBB0D6}"/>
            </a:ext>
          </a:extLst>
        </xdr:cNvPr>
        <xdr:cNvSpPr>
          <a:spLocks/>
        </xdr:cNvSpPr>
      </xdr:nvSpPr>
      <xdr:spPr bwMode="auto">
        <a:xfrm rot="-5400000">
          <a:off x="5100637" y="2890838"/>
          <a:ext cx="161925" cy="1238250"/>
        </a:xfrm>
        <a:prstGeom prst="leftBrace">
          <a:avLst>
            <a:gd name="adj1" fmla="val 63725"/>
            <a:gd name="adj2" fmla="val 50000"/>
          </a:avLst>
        </a:prstGeom>
        <a:noFill/>
        <a:ln w="25400">
          <a:solidFill>
            <a:srgbClr val="FF0000"/>
          </a:solidFill>
          <a:round/>
          <a:headEnd/>
          <a:tailEnd type="none" w="med" len="lg"/>
        </a:ln>
      </xdr:spPr>
    </xdr:sp>
    <xdr:clientData/>
  </xdr:twoCellAnchor>
  <xdr:oneCellAnchor>
    <xdr:from>
      <xdr:col>7</xdr:col>
      <xdr:colOff>333375</xdr:colOff>
      <xdr:row>24</xdr:row>
      <xdr:rowOff>76200</xdr:rowOff>
    </xdr:from>
    <xdr:ext cx="1741828" cy="483577"/>
    <xdr:sp macro="" textlink="">
      <xdr:nvSpPr>
        <xdr:cNvPr id="98" name="Rectangle 187">
          <a:extLst>
            <a:ext uri="{FF2B5EF4-FFF2-40B4-BE49-F238E27FC236}">
              <a16:creationId xmlns:a16="http://schemas.microsoft.com/office/drawing/2014/main" id="{A5534D24-83CD-408F-B8B4-305432165D9C}"/>
            </a:ext>
          </a:extLst>
        </xdr:cNvPr>
        <xdr:cNvSpPr>
          <a:spLocks noChangeArrowheads="1"/>
        </xdr:cNvSpPr>
      </xdr:nvSpPr>
      <xdr:spPr bwMode="auto">
        <a:xfrm>
          <a:off x="4600575" y="4400550"/>
          <a:ext cx="1741828" cy="483577"/>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000000"/>
              </a:solidFill>
              <a:latin typeface="Arial"/>
              <a:cs typeface="Arial"/>
            </a:rPr>
            <a:t>Backbone Feeder includes</a:t>
          </a:r>
        </a:p>
        <a:p>
          <a:pPr algn="l" rtl="0">
            <a:defRPr sz="1000"/>
          </a:pPr>
          <a:r>
            <a:rPr lang="en-US" sz="1000" b="0" i="0" strike="noStrike">
              <a:solidFill>
                <a:srgbClr val="000000"/>
              </a:solidFill>
              <a:latin typeface="Arial"/>
              <a:cs typeface="Arial"/>
            </a:rPr>
            <a:t>feeder lateral to PFP.  Length</a:t>
          </a:r>
        </a:p>
        <a:p>
          <a:pPr algn="l" rtl="0">
            <a:defRPr sz="1000"/>
          </a:pPr>
          <a:r>
            <a:rPr lang="en-US" sz="1000" b="0" i="0" strike="noStrike">
              <a:solidFill>
                <a:srgbClr val="000000"/>
              </a:solidFill>
              <a:latin typeface="Arial"/>
              <a:cs typeface="Arial"/>
            </a:rPr>
            <a:t>in feet</a:t>
          </a:r>
        </a:p>
      </xdr:txBody>
    </xdr:sp>
    <xdr:clientData/>
  </xdr:oneCellAnchor>
  <xdr:twoCellAnchor>
    <xdr:from>
      <xdr:col>10</xdr:col>
      <xdr:colOff>485775</xdr:colOff>
      <xdr:row>18</xdr:row>
      <xdr:rowOff>28575</xdr:rowOff>
    </xdr:from>
    <xdr:to>
      <xdr:col>14</xdr:col>
      <xdr:colOff>28575</xdr:colOff>
      <xdr:row>19</xdr:row>
      <xdr:rowOff>133350</xdr:rowOff>
    </xdr:to>
    <xdr:sp macro="" textlink="">
      <xdr:nvSpPr>
        <xdr:cNvPr id="99" name="AutoShape 188">
          <a:extLst>
            <a:ext uri="{FF2B5EF4-FFF2-40B4-BE49-F238E27FC236}">
              <a16:creationId xmlns:a16="http://schemas.microsoft.com/office/drawing/2014/main" id="{ED91D66E-18F7-48C0-88A8-DF25D3E6874C}"/>
            </a:ext>
          </a:extLst>
        </xdr:cNvPr>
        <xdr:cNvSpPr>
          <a:spLocks/>
        </xdr:cNvSpPr>
      </xdr:nvSpPr>
      <xdr:spPr bwMode="auto">
        <a:xfrm rot="-5400000">
          <a:off x="7439025" y="2362200"/>
          <a:ext cx="266700" cy="1981200"/>
        </a:xfrm>
        <a:prstGeom prst="leftBrace">
          <a:avLst>
            <a:gd name="adj1" fmla="val 61905"/>
            <a:gd name="adj2" fmla="val 66662"/>
          </a:avLst>
        </a:prstGeom>
        <a:noFill/>
        <a:ln w="25400">
          <a:solidFill>
            <a:srgbClr val="FF0000"/>
          </a:solidFill>
          <a:round/>
          <a:headEnd/>
          <a:tailEnd type="none" w="med" len="lg"/>
        </a:ln>
      </xdr:spPr>
    </xdr:sp>
    <xdr:clientData/>
  </xdr:twoCellAnchor>
  <xdr:twoCellAnchor editAs="oneCell">
    <xdr:from>
      <xdr:col>13</xdr:col>
      <xdr:colOff>114300</xdr:colOff>
      <xdr:row>39</xdr:row>
      <xdr:rowOff>9525</xdr:rowOff>
    </xdr:from>
    <xdr:to>
      <xdr:col>15</xdr:col>
      <xdr:colOff>352425</xdr:colOff>
      <xdr:row>41</xdr:row>
      <xdr:rowOff>9525</xdr:rowOff>
    </xdr:to>
    <xdr:sp macro="" textlink="">
      <xdr:nvSpPr>
        <xdr:cNvPr id="100" name="Rectangle 189">
          <a:extLst>
            <a:ext uri="{FF2B5EF4-FFF2-40B4-BE49-F238E27FC236}">
              <a16:creationId xmlns:a16="http://schemas.microsoft.com/office/drawing/2014/main" id="{FE845A7D-23FA-4209-9B92-0760436F898A}"/>
            </a:ext>
          </a:extLst>
        </xdr:cNvPr>
        <xdr:cNvSpPr>
          <a:spLocks noChangeArrowheads="1"/>
        </xdr:cNvSpPr>
      </xdr:nvSpPr>
      <xdr:spPr bwMode="auto">
        <a:xfrm>
          <a:off x="8039100" y="7248525"/>
          <a:ext cx="1457325" cy="381000"/>
        </a:xfrm>
        <a:prstGeom prst="rect">
          <a:avLst/>
        </a:prstGeom>
        <a:noFill/>
        <a:ln w="9525">
          <a:noFill/>
          <a:miter lim="800000"/>
          <a:headEnd/>
          <a:tailEnd/>
        </a:ln>
      </xdr:spPr>
      <xdr:txBody>
        <a:bodyPr vertOverflow="clip" wrap="square" lIns="0" tIns="0" rIns="0" bIns="0" anchor="t" upright="1"/>
        <a:lstStyle/>
        <a:p>
          <a:pPr algn="l" rtl="0">
            <a:defRPr sz="1000"/>
          </a:pPr>
          <a:endParaRPr lang="en-US" sz="1000" b="0" i="0" strike="noStrike">
            <a:solidFill>
              <a:srgbClr val="000000"/>
            </a:solidFill>
            <a:latin typeface="Arial"/>
            <a:cs typeface="Arial"/>
          </a:endParaRPr>
        </a:p>
      </xdr:txBody>
    </xdr:sp>
    <xdr:clientData/>
  </xdr:twoCellAnchor>
  <xdr:oneCellAnchor>
    <xdr:from>
      <xdr:col>11</xdr:col>
      <xdr:colOff>28575</xdr:colOff>
      <xdr:row>5</xdr:row>
      <xdr:rowOff>38100</xdr:rowOff>
    </xdr:from>
    <xdr:ext cx="1678639" cy="161192"/>
    <xdr:sp macro="" textlink="">
      <xdr:nvSpPr>
        <xdr:cNvPr id="101" name="Rectangle 194">
          <a:extLst>
            <a:ext uri="{FF2B5EF4-FFF2-40B4-BE49-F238E27FC236}">
              <a16:creationId xmlns:a16="http://schemas.microsoft.com/office/drawing/2014/main" id="{A9DC987A-03F4-42AD-8049-0BC0E6545CA6}"/>
            </a:ext>
          </a:extLst>
        </xdr:cNvPr>
        <xdr:cNvSpPr>
          <a:spLocks noChangeArrowheads="1"/>
        </xdr:cNvSpPr>
      </xdr:nvSpPr>
      <xdr:spPr bwMode="auto">
        <a:xfrm>
          <a:off x="6734175" y="962025"/>
          <a:ext cx="1678639" cy="161192"/>
        </a:xfrm>
        <a:prstGeom prst="rect">
          <a:avLst/>
        </a:prstGeom>
        <a:noFill/>
        <a:ln w="9525">
          <a:noFill/>
          <a:miter lim="800000"/>
          <a:headEnd/>
          <a:tailEnd/>
        </a:ln>
      </xdr:spPr>
      <xdr:txBody>
        <a:bodyPr wrap="none" lIns="0" tIns="0" rIns="0" bIns="0" anchor="t" upright="1">
          <a:spAutoFit/>
        </a:bodyPr>
        <a:lstStyle/>
        <a:p>
          <a:pPr algn="l" rtl="0">
            <a:defRPr sz="1000"/>
          </a:pPr>
          <a:r>
            <a:rPr lang="en-US" sz="1000" b="0" i="0" strike="noStrike">
              <a:solidFill>
                <a:srgbClr val="FF0000"/>
              </a:solidFill>
              <a:latin typeface="Arial"/>
              <a:cs typeface="Arial"/>
            </a:rPr>
            <a:t>Distribution Splice 4 Per DA</a:t>
          </a:r>
        </a:p>
      </xdr:txBody>
    </xdr:sp>
    <xdr:clientData/>
  </xdr:oneCellAnchor>
  <xdr:twoCellAnchor>
    <xdr:from>
      <xdr:col>12</xdr:col>
      <xdr:colOff>59532</xdr:colOff>
      <xdr:row>7</xdr:row>
      <xdr:rowOff>152400</xdr:rowOff>
    </xdr:from>
    <xdr:to>
      <xdr:col>12</xdr:col>
      <xdr:colOff>142876</xdr:colOff>
      <xdr:row>12</xdr:row>
      <xdr:rowOff>0</xdr:rowOff>
    </xdr:to>
    <xdr:sp macro="" textlink="">
      <xdr:nvSpPr>
        <xdr:cNvPr id="102" name="Line 195">
          <a:extLst>
            <a:ext uri="{FF2B5EF4-FFF2-40B4-BE49-F238E27FC236}">
              <a16:creationId xmlns:a16="http://schemas.microsoft.com/office/drawing/2014/main" id="{9D6D34D4-710B-4215-A7A0-2D7E865D304D}"/>
            </a:ext>
          </a:extLst>
        </xdr:cNvPr>
        <xdr:cNvSpPr>
          <a:spLocks noChangeShapeType="1"/>
        </xdr:cNvSpPr>
      </xdr:nvSpPr>
      <xdr:spPr bwMode="auto">
        <a:xfrm flipH="1">
          <a:off x="7374732" y="1400175"/>
          <a:ext cx="83344" cy="657225"/>
        </a:xfrm>
        <a:prstGeom prst="line">
          <a:avLst/>
        </a:prstGeom>
        <a:noFill/>
        <a:ln w="25400">
          <a:solidFill>
            <a:srgbClr val="FF0000"/>
          </a:solidFill>
          <a:round/>
          <a:headEnd/>
          <a:tailEnd type="triangle" w="med" len="lg"/>
        </a:ln>
      </xdr:spPr>
    </xdr:sp>
    <xdr:clientData/>
  </xdr:twoCellAnchor>
  <xdr:twoCellAnchor>
    <xdr:from>
      <xdr:col>14</xdr:col>
      <xdr:colOff>35718</xdr:colOff>
      <xdr:row>5</xdr:row>
      <xdr:rowOff>47625</xdr:rowOff>
    </xdr:from>
    <xdr:to>
      <xdr:col>14</xdr:col>
      <xdr:colOff>238125</xdr:colOff>
      <xdr:row>12</xdr:row>
      <xdr:rowOff>130969</xdr:rowOff>
    </xdr:to>
    <xdr:sp macro="" textlink="">
      <xdr:nvSpPr>
        <xdr:cNvPr id="103" name="Line 196">
          <a:extLst>
            <a:ext uri="{FF2B5EF4-FFF2-40B4-BE49-F238E27FC236}">
              <a16:creationId xmlns:a16="http://schemas.microsoft.com/office/drawing/2014/main" id="{27F1C9F8-619C-4C96-A4ED-55CFD2BEE519}"/>
            </a:ext>
          </a:extLst>
        </xdr:cNvPr>
        <xdr:cNvSpPr>
          <a:spLocks noChangeShapeType="1"/>
        </xdr:cNvSpPr>
      </xdr:nvSpPr>
      <xdr:spPr bwMode="auto">
        <a:xfrm flipH="1">
          <a:off x="8570118" y="971550"/>
          <a:ext cx="202407" cy="1216819"/>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oneCellAnchor>
    <xdr:from>
      <xdr:col>14</xdr:col>
      <xdr:colOff>419100</xdr:colOff>
      <xdr:row>3</xdr:row>
      <xdr:rowOff>104775</xdr:rowOff>
    </xdr:from>
    <xdr:ext cx="719684" cy="442429"/>
    <xdr:sp macro="" textlink="">
      <xdr:nvSpPr>
        <xdr:cNvPr id="104" name="Rectangle 197">
          <a:extLst>
            <a:ext uri="{FF2B5EF4-FFF2-40B4-BE49-F238E27FC236}">
              <a16:creationId xmlns:a16="http://schemas.microsoft.com/office/drawing/2014/main" id="{3D7049C2-81E9-4A5F-8EC4-86FB1B87877C}"/>
            </a:ext>
          </a:extLst>
        </xdr:cNvPr>
        <xdr:cNvSpPr>
          <a:spLocks noChangeArrowheads="1"/>
        </xdr:cNvSpPr>
      </xdr:nvSpPr>
      <xdr:spPr bwMode="auto">
        <a:xfrm>
          <a:off x="8953500" y="704850"/>
          <a:ext cx="719684" cy="442429"/>
        </a:xfrm>
        <a:prstGeom prst="rect">
          <a:avLst/>
        </a:prstGeom>
        <a:noFill/>
        <a:ln w="9525">
          <a:noFill/>
          <a:miter lim="800000"/>
          <a:headEnd/>
          <a:tailEnd/>
        </a:ln>
      </xdr:spPr>
      <xdr:txBody>
        <a:bodyPr wrap="none" lIns="0" tIns="0" rIns="0" bIns="0" anchor="t" upright="1">
          <a:spAutoFit/>
        </a:bodyPr>
        <a:lstStyle/>
        <a:p>
          <a:pPr algn="l" rtl="0">
            <a:defRPr sz="1000"/>
          </a:pPr>
          <a:r>
            <a:rPr lang="en-US" sz="1000" b="1" i="0" strike="noStrike">
              <a:solidFill>
                <a:srgbClr val="000000"/>
              </a:solidFill>
              <a:latin typeface="Arial"/>
              <a:cs typeface="Arial"/>
            </a:rPr>
            <a:t>Fiber Drop, </a:t>
          </a:r>
        </a:p>
        <a:p>
          <a:pPr algn="l" rtl="0">
            <a:defRPr sz="1000"/>
          </a:pPr>
          <a:r>
            <a:rPr lang="en-US" sz="1000" b="1" i="0" strike="noStrike">
              <a:solidFill>
                <a:srgbClr val="000000"/>
              </a:solidFill>
              <a:latin typeface="Arial"/>
              <a:cs typeface="Arial"/>
            </a:rPr>
            <a:t>500 feet</a:t>
          </a:r>
        </a:p>
        <a:p>
          <a:pPr algn="l" rtl="0">
            <a:defRPr sz="1000"/>
          </a:pPr>
          <a:endParaRPr lang="en-US" sz="1000" b="1" i="0" strike="noStrike">
            <a:solidFill>
              <a:srgbClr val="000000"/>
            </a:solidFill>
            <a:latin typeface="Arial"/>
            <a:cs typeface="Arial"/>
          </a:endParaRPr>
        </a:p>
      </xdr:txBody>
    </xdr:sp>
    <xdr:clientData/>
  </xdr:oneCellAnchor>
  <xdr:twoCellAnchor>
    <xdr:from>
      <xdr:col>0</xdr:col>
      <xdr:colOff>295275</xdr:colOff>
      <xdr:row>2</xdr:row>
      <xdr:rowOff>104775</xdr:rowOff>
    </xdr:from>
    <xdr:to>
      <xdr:col>1</xdr:col>
      <xdr:colOff>0</xdr:colOff>
      <xdr:row>4</xdr:row>
      <xdr:rowOff>85725</xdr:rowOff>
    </xdr:to>
    <xdr:sp macro="" textlink="">
      <xdr:nvSpPr>
        <xdr:cNvPr id="105" name="Oval 198">
          <a:extLst>
            <a:ext uri="{FF2B5EF4-FFF2-40B4-BE49-F238E27FC236}">
              <a16:creationId xmlns:a16="http://schemas.microsoft.com/office/drawing/2014/main" id="{334548A5-0496-4CB6-B2BF-D1FDCF679929}"/>
            </a:ext>
          </a:extLst>
        </xdr:cNvPr>
        <xdr:cNvSpPr>
          <a:spLocks noChangeArrowheads="1"/>
        </xdr:cNvSpPr>
      </xdr:nvSpPr>
      <xdr:spPr bwMode="auto">
        <a:xfrm>
          <a:off x="295275" y="5429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B</a:t>
          </a:r>
        </a:p>
      </xdr:txBody>
    </xdr:sp>
    <xdr:clientData/>
  </xdr:twoCellAnchor>
  <xdr:twoCellAnchor>
    <xdr:from>
      <xdr:col>14</xdr:col>
      <xdr:colOff>457200</xdr:colOff>
      <xdr:row>21</xdr:row>
      <xdr:rowOff>140494</xdr:rowOff>
    </xdr:from>
    <xdr:to>
      <xdr:col>15</xdr:col>
      <xdr:colOff>119063</xdr:colOff>
      <xdr:row>22</xdr:row>
      <xdr:rowOff>107156</xdr:rowOff>
    </xdr:to>
    <xdr:sp macro="" textlink="">
      <xdr:nvSpPr>
        <xdr:cNvPr id="106" name="Oval 200">
          <a:extLst>
            <a:ext uri="{FF2B5EF4-FFF2-40B4-BE49-F238E27FC236}">
              <a16:creationId xmlns:a16="http://schemas.microsoft.com/office/drawing/2014/main" id="{EB6CD81A-05FA-4561-ABBE-D779C8CC51E2}"/>
            </a:ext>
          </a:extLst>
        </xdr:cNvPr>
        <xdr:cNvSpPr>
          <a:spLocks noChangeArrowheads="1"/>
        </xdr:cNvSpPr>
      </xdr:nvSpPr>
      <xdr:spPr bwMode="auto">
        <a:xfrm>
          <a:off x="8991600" y="3817144"/>
          <a:ext cx="271463" cy="290512"/>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V</a:t>
          </a:r>
        </a:p>
      </xdr:txBody>
    </xdr:sp>
    <xdr:clientData/>
  </xdr:twoCellAnchor>
  <xdr:twoCellAnchor>
    <xdr:from>
      <xdr:col>14</xdr:col>
      <xdr:colOff>500062</xdr:colOff>
      <xdr:row>12</xdr:row>
      <xdr:rowOff>321467</xdr:rowOff>
    </xdr:from>
    <xdr:to>
      <xdr:col>14</xdr:col>
      <xdr:colOff>571500</xdr:colOff>
      <xdr:row>21</xdr:row>
      <xdr:rowOff>107155</xdr:rowOff>
    </xdr:to>
    <xdr:sp macro="" textlink="">
      <xdr:nvSpPr>
        <xdr:cNvPr id="107" name="Line 201">
          <a:extLst>
            <a:ext uri="{FF2B5EF4-FFF2-40B4-BE49-F238E27FC236}">
              <a16:creationId xmlns:a16="http://schemas.microsoft.com/office/drawing/2014/main" id="{C5F2B287-52B2-445E-8E60-E1C7D7C4AD8F}"/>
            </a:ext>
          </a:extLst>
        </xdr:cNvPr>
        <xdr:cNvSpPr>
          <a:spLocks noChangeShapeType="1"/>
        </xdr:cNvSpPr>
      </xdr:nvSpPr>
      <xdr:spPr bwMode="auto">
        <a:xfrm flipH="1" flipV="1">
          <a:off x="9034462" y="2378867"/>
          <a:ext cx="71438" cy="1404938"/>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0</xdr:col>
      <xdr:colOff>161925</xdr:colOff>
      <xdr:row>19</xdr:row>
      <xdr:rowOff>47625</xdr:rowOff>
    </xdr:from>
    <xdr:to>
      <xdr:col>0</xdr:col>
      <xdr:colOff>476250</xdr:colOff>
      <xdr:row>21</xdr:row>
      <xdr:rowOff>28575</xdr:rowOff>
    </xdr:to>
    <xdr:sp macro="" textlink="">
      <xdr:nvSpPr>
        <xdr:cNvPr id="108" name="Oval 202">
          <a:extLst>
            <a:ext uri="{FF2B5EF4-FFF2-40B4-BE49-F238E27FC236}">
              <a16:creationId xmlns:a16="http://schemas.microsoft.com/office/drawing/2014/main" id="{27B4A8DD-741C-4FD3-B36A-5BEA2E90D600}"/>
            </a:ext>
          </a:extLst>
        </xdr:cNvPr>
        <xdr:cNvSpPr>
          <a:spLocks noChangeArrowheads="1"/>
        </xdr:cNvSpPr>
      </xdr:nvSpPr>
      <xdr:spPr bwMode="auto">
        <a:xfrm>
          <a:off x="161925" y="34004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D</a:t>
          </a:r>
        </a:p>
      </xdr:txBody>
    </xdr:sp>
    <xdr:clientData/>
  </xdr:twoCellAnchor>
  <xdr:twoCellAnchor>
    <xdr:from>
      <xdr:col>0</xdr:col>
      <xdr:colOff>485775</xdr:colOff>
      <xdr:row>17</xdr:row>
      <xdr:rowOff>0</xdr:rowOff>
    </xdr:from>
    <xdr:to>
      <xdr:col>2</xdr:col>
      <xdr:colOff>276225</xdr:colOff>
      <xdr:row>20</xdr:row>
      <xdr:rowOff>28575</xdr:rowOff>
    </xdr:to>
    <xdr:sp macro="" textlink="">
      <xdr:nvSpPr>
        <xdr:cNvPr id="109" name="Line 203">
          <a:extLst>
            <a:ext uri="{FF2B5EF4-FFF2-40B4-BE49-F238E27FC236}">
              <a16:creationId xmlns:a16="http://schemas.microsoft.com/office/drawing/2014/main" id="{81E4F74B-B4DF-42BA-A8FC-DA919E950BAE}"/>
            </a:ext>
          </a:extLst>
        </xdr:cNvPr>
        <xdr:cNvSpPr>
          <a:spLocks noChangeShapeType="1"/>
        </xdr:cNvSpPr>
      </xdr:nvSpPr>
      <xdr:spPr bwMode="auto">
        <a:xfrm flipV="1">
          <a:off x="485775" y="3028950"/>
          <a:ext cx="1009650" cy="514350"/>
        </a:xfrm>
        <a:prstGeom prst="line">
          <a:avLst/>
        </a:prstGeom>
        <a:noFill/>
        <a:ln w="25400">
          <a:solidFill>
            <a:srgbClr val="FF0000"/>
          </a:solidFill>
          <a:round/>
          <a:headEnd/>
          <a:tailEnd type="triangle" w="med" len="lg"/>
        </a:ln>
      </xdr:spPr>
    </xdr:sp>
    <xdr:clientData/>
  </xdr:twoCellAnchor>
  <xdr:twoCellAnchor>
    <xdr:from>
      <xdr:col>0</xdr:col>
      <xdr:colOff>200025</xdr:colOff>
      <xdr:row>27</xdr:row>
      <xdr:rowOff>104775</xdr:rowOff>
    </xdr:from>
    <xdr:to>
      <xdr:col>0</xdr:col>
      <xdr:colOff>514350</xdr:colOff>
      <xdr:row>29</xdr:row>
      <xdr:rowOff>85725</xdr:rowOff>
    </xdr:to>
    <xdr:sp macro="" textlink="">
      <xdr:nvSpPr>
        <xdr:cNvPr id="110" name="Oval 204">
          <a:extLst>
            <a:ext uri="{FF2B5EF4-FFF2-40B4-BE49-F238E27FC236}">
              <a16:creationId xmlns:a16="http://schemas.microsoft.com/office/drawing/2014/main" id="{231F2E65-3D3D-4084-8FB7-43FDFB1C342D}"/>
            </a:ext>
          </a:extLst>
        </xdr:cNvPr>
        <xdr:cNvSpPr>
          <a:spLocks noChangeArrowheads="1"/>
        </xdr:cNvSpPr>
      </xdr:nvSpPr>
      <xdr:spPr bwMode="auto">
        <a:xfrm>
          <a:off x="200025" y="50768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E</a:t>
          </a:r>
        </a:p>
      </xdr:txBody>
    </xdr:sp>
    <xdr:clientData/>
  </xdr:twoCellAnchor>
  <xdr:twoCellAnchor>
    <xdr:from>
      <xdr:col>0</xdr:col>
      <xdr:colOff>485775</xdr:colOff>
      <xdr:row>24</xdr:row>
      <xdr:rowOff>28575</xdr:rowOff>
    </xdr:from>
    <xdr:to>
      <xdr:col>2</xdr:col>
      <xdr:colOff>238125</xdr:colOff>
      <xdr:row>27</xdr:row>
      <xdr:rowOff>114300</xdr:rowOff>
    </xdr:to>
    <xdr:sp macro="" textlink="">
      <xdr:nvSpPr>
        <xdr:cNvPr id="111" name="Line 205">
          <a:extLst>
            <a:ext uri="{FF2B5EF4-FFF2-40B4-BE49-F238E27FC236}">
              <a16:creationId xmlns:a16="http://schemas.microsoft.com/office/drawing/2014/main" id="{F1F799DE-67A0-4F14-A6A6-C103D6309DBD}"/>
            </a:ext>
          </a:extLst>
        </xdr:cNvPr>
        <xdr:cNvSpPr>
          <a:spLocks noChangeShapeType="1"/>
        </xdr:cNvSpPr>
      </xdr:nvSpPr>
      <xdr:spPr bwMode="auto">
        <a:xfrm flipV="1">
          <a:off x="485775" y="4352925"/>
          <a:ext cx="971550" cy="733425"/>
        </a:xfrm>
        <a:prstGeom prst="line">
          <a:avLst/>
        </a:prstGeom>
        <a:noFill/>
        <a:ln w="25400">
          <a:solidFill>
            <a:srgbClr val="FF0000"/>
          </a:solidFill>
          <a:round/>
          <a:headEnd/>
          <a:tailEnd type="triangle" w="med" len="lg"/>
        </a:ln>
      </xdr:spPr>
    </xdr:sp>
    <xdr:clientData/>
  </xdr:twoCellAnchor>
  <xdr:twoCellAnchor>
    <xdr:from>
      <xdr:col>0</xdr:col>
      <xdr:colOff>219075</xdr:colOff>
      <xdr:row>32</xdr:row>
      <xdr:rowOff>85725</xdr:rowOff>
    </xdr:from>
    <xdr:to>
      <xdr:col>0</xdr:col>
      <xdr:colOff>533400</xdr:colOff>
      <xdr:row>34</xdr:row>
      <xdr:rowOff>66675</xdr:rowOff>
    </xdr:to>
    <xdr:sp macro="" textlink="">
      <xdr:nvSpPr>
        <xdr:cNvPr id="112" name="Oval 206">
          <a:extLst>
            <a:ext uri="{FF2B5EF4-FFF2-40B4-BE49-F238E27FC236}">
              <a16:creationId xmlns:a16="http://schemas.microsoft.com/office/drawing/2014/main" id="{CD827C13-EF06-48BA-BC88-E105006E3071}"/>
            </a:ext>
          </a:extLst>
        </xdr:cNvPr>
        <xdr:cNvSpPr>
          <a:spLocks noChangeArrowheads="1"/>
        </xdr:cNvSpPr>
      </xdr:nvSpPr>
      <xdr:spPr bwMode="auto">
        <a:xfrm>
          <a:off x="219075" y="6029325"/>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F</a:t>
          </a:r>
        </a:p>
      </xdr:txBody>
    </xdr:sp>
    <xdr:clientData/>
  </xdr:twoCellAnchor>
  <xdr:twoCellAnchor>
    <xdr:from>
      <xdr:col>1</xdr:col>
      <xdr:colOff>304800</xdr:colOff>
      <xdr:row>36</xdr:row>
      <xdr:rowOff>76200</xdr:rowOff>
    </xdr:from>
    <xdr:to>
      <xdr:col>2</xdr:col>
      <xdr:colOff>9525</xdr:colOff>
      <xdr:row>38</xdr:row>
      <xdr:rowOff>57150</xdr:rowOff>
    </xdr:to>
    <xdr:sp macro="" textlink="">
      <xdr:nvSpPr>
        <xdr:cNvPr id="113" name="Oval 207">
          <a:extLst>
            <a:ext uri="{FF2B5EF4-FFF2-40B4-BE49-F238E27FC236}">
              <a16:creationId xmlns:a16="http://schemas.microsoft.com/office/drawing/2014/main" id="{6F677725-EA50-42A3-9B92-8427C71DBB02}"/>
            </a:ext>
          </a:extLst>
        </xdr:cNvPr>
        <xdr:cNvSpPr>
          <a:spLocks noChangeArrowheads="1"/>
        </xdr:cNvSpPr>
      </xdr:nvSpPr>
      <xdr:spPr bwMode="auto">
        <a:xfrm>
          <a:off x="914400" y="68294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G</a:t>
          </a:r>
        </a:p>
      </xdr:txBody>
    </xdr:sp>
    <xdr:clientData/>
  </xdr:twoCellAnchor>
  <xdr:twoCellAnchor>
    <xdr:from>
      <xdr:col>2</xdr:col>
      <xdr:colOff>381000</xdr:colOff>
      <xdr:row>36</xdr:row>
      <xdr:rowOff>85725</xdr:rowOff>
    </xdr:from>
    <xdr:to>
      <xdr:col>3</xdr:col>
      <xdr:colOff>85725</xdr:colOff>
      <xdr:row>38</xdr:row>
      <xdr:rowOff>66675</xdr:rowOff>
    </xdr:to>
    <xdr:sp macro="" textlink="">
      <xdr:nvSpPr>
        <xdr:cNvPr id="114" name="Oval 208">
          <a:extLst>
            <a:ext uri="{FF2B5EF4-FFF2-40B4-BE49-F238E27FC236}">
              <a16:creationId xmlns:a16="http://schemas.microsoft.com/office/drawing/2014/main" id="{0A115FF0-CA60-4F13-9A5B-FB2C12C056F5}"/>
            </a:ext>
          </a:extLst>
        </xdr:cNvPr>
        <xdr:cNvSpPr>
          <a:spLocks noChangeArrowheads="1"/>
        </xdr:cNvSpPr>
      </xdr:nvSpPr>
      <xdr:spPr bwMode="auto">
        <a:xfrm>
          <a:off x="1600200" y="683895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H</a:t>
          </a:r>
        </a:p>
      </xdr:txBody>
    </xdr:sp>
    <xdr:clientData/>
  </xdr:twoCellAnchor>
  <xdr:twoCellAnchor>
    <xdr:from>
      <xdr:col>3</xdr:col>
      <xdr:colOff>390525</xdr:colOff>
      <xdr:row>36</xdr:row>
      <xdr:rowOff>114300</xdr:rowOff>
    </xdr:from>
    <xdr:to>
      <xdr:col>4</xdr:col>
      <xdr:colOff>95250</xdr:colOff>
      <xdr:row>38</xdr:row>
      <xdr:rowOff>95250</xdr:rowOff>
    </xdr:to>
    <xdr:sp macro="" textlink="">
      <xdr:nvSpPr>
        <xdr:cNvPr id="115" name="Oval 209">
          <a:extLst>
            <a:ext uri="{FF2B5EF4-FFF2-40B4-BE49-F238E27FC236}">
              <a16:creationId xmlns:a16="http://schemas.microsoft.com/office/drawing/2014/main" id="{B58ECFDB-2302-4CE6-8FCF-2B94D5559830}"/>
            </a:ext>
          </a:extLst>
        </xdr:cNvPr>
        <xdr:cNvSpPr>
          <a:spLocks noChangeArrowheads="1"/>
        </xdr:cNvSpPr>
      </xdr:nvSpPr>
      <xdr:spPr bwMode="auto">
        <a:xfrm>
          <a:off x="2219325" y="68675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I</a:t>
          </a:r>
        </a:p>
      </xdr:txBody>
    </xdr:sp>
    <xdr:clientData/>
  </xdr:twoCellAnchor>
  <xdr:twoCellAnchor>
    <xdr:from>
      <xdr:col>0</xdr:col>
      <xdr:colOff>495300</xdr:colOff>
      <xdr:row>27</xdr:row>
      <xdr:rowOff>66675</xdr:rowOff>
    </xdr:from>
    <xdr:to>
      <xdr:col>2</xdr:col>
      <xdr:colOff>228600</xdr:colOff>
      <xdr:row>32</xdr:row>
      <xdr:rowOff>152400</xdr:rowOff>
    </xdr:to>
    <xdr:sp macro="" textlink="">
      <xdr:nvSpPr>
        <xdr:cNvPr id="116" name="Line 210">
          <a:extLst>
            <a:ext uri="{FF2B5EF4-FFF2-40B4-BE49-F238E27FC236}">
              <a16:creationId xmlns:a16="http://schemas.microsoft.com/office/drawing/2014/main" id="{F9503FED-A90B-4D5E-8629-A6D7F95969BD}"/>
            </a:ext>
          </a:extLst>
        </xdr:cNvPr>
        <xdr:cNvSpPr>
          <a:spLocks noChangeShapeType="1"/>
        </xdr:cNvSpPr>
      </xdr:nvSpPr>
      <xdr:spPr bwMode="auto">
        <a:xfrm flipV="1">
          <a:off x="495300" y="5038725"/>
          <a:ext cx="952500" cy="1057275"/>
        </a:xfrm>
        <a:prstGeom prst="line">
          <a:avLst/>
        </a:prstGeom>
        <a:noFill/>
        <a:ln w="25400">
          <a:solidFill>
            <a:srgbClr val="FF0000"/>
          </a:solidFill>
          <a:round/>
          <a:headEnd/>
          <a:tailEnd type="triangle" w="med" len="lg"/>
        </a:ln>
      </xdr:spPr>
    </xdr:sp>
    <xdr:clientData/>
  </xdr:twoCellAnchor>
  <xdr:twoCellAnchor>
    <xdr:from>
      <xdr:col>1</xdr:col>
      <xdr:colOff>561975</xdr:colOff>
      <xdr:row>27</xdr:row>
      <xdr:rowOff>66675</xdr:rowOff>
    </xdr:from>
    <xdr:to>
      <xdr:col>3</xdr:col>
      <xdr:colOff>66675</xdr:colOff>
      <xdr:row>36</xdr:row>
      <xdr:rowOff>104775</xdr:rowOff>
    </xdr:to>
    <xdr:sp macro="" textlink="">
      <xdr:nvSpPr>
        <xdr:cNvPr id="117" name="Line 211">
          <a:extLst>
            <a:ext uri="{FF2B5EF4-FFF2-40B4-BE49-F238E27FC236}">
              <a16:creationId xmlns:a16="http://schemas.microsoft.com/office/drawing/2014/main" id="{B49F2F06-E32E-4999-B9BD-9CDFD85F815A}"/>
            </a:ext>
          </a:extLst>
        </xdr:cNvPr>
        <xdr:cNvSpPr>
          <a:spLocks noChangeShapeType="1"/>
        </xdr:cNvSpPr>
      </xdr:nvSpPr>
      <xdr:spPr bwMode="auto">
        <a:xfrm flipV="1">
          <a:off x="1171575" y="5038725"/>
          <a:ext cx="723900" cy="1819275"/>
        </a:xfrm>
        <a:prstGeom prst="line">
          <a:avLst/>
        </a:prstGeom>
        <a:noFill/>
        <a:ln w="25400">
          <a:solidFill>
            <a:srgbClr val="FF0000"/>
          </a:solidFill>
          <a:round/>
          <a:headEnd/>
          <a:tailEnd type="triangle" w="med" len="lg"/>
        </a:ln>
      </xdr:spPr>
    </xdr:sp>
    <xdr:clientData/>
  </xdr:twoCellAnchor>
  <xdr:twoCellAnchor>
    <xdr:from>
      <xdr:col>2</xdr:col>
      <xdr:colOff>581025</xdr:colOff>
      <xdr:row>27</xdr:row>
      <xdr:rowOff>104775</xdr:rowOff>
    </xdr:from>
    <xdr:to>
      <xdr:col>3</xdr:col>
      <xdr:colOff>447675</xdr:colOff>
      <xdr:row>36</xdr:row>
      <xdr:rowOff>85725</xdr:rowOff>
    </xdr:to>
    <xdr:sp macro="" textlink="">
      <xdr:nvSpPr>
        <xdr:cNvPr id="118" name="Line 212">
          <a:extLst>
            <a:ext uri="{FF2B5EF4-FFF2-40B4-BE49-F238E27FC236}">
              <a16:creationId xmlns:a16="http://schemas.microsoft.com/office/drawing/2014/main" id="{F109F329-1C2A-4B45-A253-B05EAA3F990C}"/>
            </a:ext>
          </a:extLst>
        </xdr:cNvPr>
        <xdr:cNvSpPr>
          <a:spLocks noChangeShapeType="1"/>
        </xdr:cNvSpPr>
      </xdr:nvSpPr>
      <xdr:spPr bwMode="auto">
        <a:xfrm flipV="1">
          <a:off x="1800225" y="5076825"/>
          <a:ext cx="476250" cy="1762125"/>
        </a:xfrm>
        <a:prstGeom prst="line">
          <a:avLst/>
        </a:prstGeom>
        <a:noFill/>
        <a:ln w="25400">
          <a:solidFill>
            <a:srgbClr val="FF0000"/>
          </a:solidFill>
          <a:round/>
          <a:headEnd/>
          <a:tailEnd type="triangle" w="med" len="lg"/>
        </a:ln>
      </xdr:spPr>
    </xdr:sp>
    <xdr:clientData/>
  </xdr:twoCellAnchor>
  <xdr:twoCellAnchor>
    <xdr:from>
      <xdr:col>4</xdr:col>
      <xdr:colOff>28575</xdr:colOff>
      <xdr:row>27</xdr:row>
      <xdr:rowOff>76200</xdr:rowOff>
    </xdr:from>
    <xdr:to>
      <xdr:col>4</xdr:col>
      <xdr:colOff>190500</xdr:colOff>
      <xdr:row>36</xdr:row>
      <xdr:rowOff>123825</xdr:rowOff>
    </xdr:to>
    <xdr:sp macro="" textlink="">
      <xdr:nvSpPr>
        <xdr:cNvPr id="119" name="Line 213">
          <a:extLst>
            <a:ext uri="{FF2B5EF4-FFF2-40B4-BE49-F238E27FC236}">
              <a16:creationId xmlns:a16="http://schemas.microsoft.com/office/drawing/2014/main" id="{D8FC2D7E-BA5F-4525-9871-BED23F3F0FB9}"/>
            </a:ext>
          </a:extLst>
        </xdr:cNvPr>
        <xdr:cNvSpPr>
          <a:spLocks noChangeShapeType="1"/>
        </xdr:cNvSpPr>
      </xdr:nvSpPr>
      <xdr:spPr bwMode="auto">
        <a:xfrm flipV="1">
          <a:off x="2466975" y="5048250"/>
          <a:ext cx="161925" cy="1828800"/>
        </a:xfrm>
        <a:prstGeom prst="line">
          <a:avLst/>
        </a:prstGeom>
        <a:noFill/>
        <a:ln w="25400">
          <a:solidFill>
            <a:srgbClr val="FF0000"/>
          </a:solidFill>
          <a:round/>
          <a:headEnd/>
          <a:tailEnd type="triangle" w="med" len="lg"/>
        </a:ln>
      </xdr:spPr>
    </xdr:sp>
    <xdr:clientData/>
  </xdr:twoCellAnchor>
  <xdr:twoCellAnchor>
    <xdr:from>
      <xdr:col>6</xdr:col>
      <xdr:colOff>485775</xdr:colOff>
      <xdr:row>28</xdr:row>
      <xdr:rowOff>47625</xdr:rowOff>
    </xdr:from>
    <xdr:to>
      <xdr:col>7</xdr:col>
      <xdr:colOff>190500</xdr:colOff>
      <xdr:row>30</xdr:row>
      <xdr:rowOff>28575</xdr:rowOff>
    </xdr:to>
    <xdr:sp macro="" textlink="">
      <xdr:nvSpPr>
        <xdr:cNvPr id="120" name="Oval 215">
          <a:extLst>
            <a:ext uri="{FF2B5EF4-FFF2-40B4-BE49-F238E27FC236}">
              <a16:creationId xmlns:a16="http://schemas.microsoft.com/office/drawing/2014/main" id="{B8FC268F-A446-4782-9058-EA4F4B47FDA1}"/>
            </a:ext>
          </a:extLst>
        </xdr:cNvPr>
        <xdr:cNvSpPr>
          <a:spLocks noChangeArrowheads="1"/>
        </xdr:cNvSpPr>
      </xdr:nvSpPr>
      <xdr:spPr bwMode="auto">
        <a:xfrm>
          <a:off x="4143375" y="5181600"/>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J</a:t>
          </a:r>
        </a:p>
      </xdr:txBody>
    </xdr:sp>
    <xdr:clientData/>
  </xdr:twoCellAnchor>
  <xdr:twoCellAnchor>
    <xdr:from>
      <xdr:col>6</xdr:col>
      <xdr:colOff>447675</xdr:colOff>
      <xdr:row>19</xdr:row>
      <xdr:rowOff>76200</xdr:rowOff>
    </xdr:from>
    <xdr:to>
      <xdr:col>7</xdr:col>
      <xdr:colOff>152400</xdr:colOff>
      <xdr:row>21</xdr:row>
      <xdr:rowOff>57150</xdr:rowOff>
    </xdr:to>
    <xdr:sp macro="" textlink="">
      <xdr:nvSpPr>
        <xdr:cNvPr id="121" name="Oval 216">
          <a:extLst>
            <a:ext uri="{FF2B5EF4-FFF2-40B4-BE49-F238E27FC236}">
              <a16:creationId xmlns:a16="http://schemas.microsoft.com/office/drawing/2014/main" id="{BEC097D6-BCA9-48FA-84BE-09B6C4CAAA25}"/>
            </a:ext>
          </a:extLst>
        </xdr:cNvPr>
        <xdr:cNvSpPr>
          <a:spLocks noChangeArrowheads="1"/>
        </xdr:cNvSpPr>
      </xdr:nvSpPr>
      <xdr:spPr bwMode="auto">
        <a:xfrm>
          <a:off x="4105275" y="342900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K</a:t>
          </a:r>
        </a:p>
      </xdr:txBody>
    </xdr:sp>
    <xdr:clientData/>
  </xdr:twoCellAnchor>
  <xdr:twoCellAnchor>
    <xdr:from>
      <xdr:col>5</xdr:col>
      <xdr:colOff>390525</xdr:colOff>
      <xdr:row>23</xdr:row>
      <xdr:rowOff>123825</xdr:rowOff>
    </xdr:from>
    <xdr:to>
      <xdr:col>6</xdr:col>
      <xdr:colOff>485775</xdr:colOff>
      <xdr:row>28</xdr:row>
      <xdr:rowOff>114300</xdr:rowOff>
    </xdr:to>
    <xdr:sp macro="" textlink="">
      <xdr:nvSpPr>
        <xdr:cNvPr id="122" name="Line 217">
          <a:extLst>
            <a:ext uri="{FF2B5EF4-FFF2-40B4-BE49-F238E27FC236}">
              <a16:creationId xmlns:a16="http://schemas.microsoft.com/office/drawing/2014/main" id="{9FC706EC-37F5-4061-B4C3-0EB1EBAEBCA7}"/>
            </a:ext>
          </a:extLst>
        </xdr:cNvPr>
        <xdr:cNvSpPr>
          <a:spLocks noChangeShapeType="1"/>
        </xdr:cNvSpPr>
      </xdr:nvSpPr>
      <xdr:spPr bwMode="auto">
        <a:xfrm flipH="1" flipV="1">
          <a:off x="3438525" y="4286250"/>
          <a:ext cx="704850" cy="962025"/>
        </a:xfrm>
        <a:prstGeom prst="line">
          <a:avLst/>
        </a:prstGeom>
        <a:noFill/>
        <a:ln w="25400">
          <a:solidFill>
            <a:srgbClr val="FF0000"/>
          </a:solidFill>
          <a:round/>
          <a:headEnd/>
          <a:tailEnd type="triangle" w="med" len="lg"/>
        </a:ln>
      </xdr:spPr>
    </xdr:sp>
    <xdr:clientData/>
  </xdr:twoCellAnchor>
  <xdr:twoCellAnchor>
    <xdr:from>
      <xdr:col>6</xdr:col>
      <xdr:colOff>28575</xdr:colOff>
      <xdr:row>1</xdr:row>
      <xdr:rowOff>66675</xdr:rowOff>
    </xdr:from>
    <xdr:to>
      <xdr:col>6</xdr:col>
      <xdr:colOff>342900</xdr:colOff>
      <xdr:row>3</xdr:row>
      <xdr:rowOff>47625</xdr:rowOff>
    </xdr:to>
    <xdr:sp macro="" textlink="">
      <xdr:nvSpPr>
        <xdr:cNvPr id="123" name="Oval 218">
          <a:extLst>
            <a:ext uri="{FF2B5EF4-FFF2-40B4-BE49-F238E27FC236}">
              <a16:creationId xmlns:a16="http://schemas.microsoft.com/office/drawing/2014/main" id="{2D80CDE3-0852-4DEB-92D9-3E402CC19906}"/>
            </a:ext>
          </a:extLst>
        </xdr:cNvPr>
        <xdr:cNvSpPr>
          <a:spLocks noChangeArrowheads="1"/>
        </xdr:cNvSpPr>
      </xdr:nvSpPr>
      <xdr:spPr bwMode="auto">
        <a:xfrm>
          <a:off x="3686175" y="295275"/>
          <a:ext cx="314325" cy="3524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M</a:t>
          </a:r>
        </a:p>
      </xdr:txBody>
    </xdr:sp>
    <xdr:clientData/>
  </xdr:twoCellAnchor>
  <xdr:twoCellAnchor>
    <xdr:from>
      <xdr:col>8</xdr:col>
      <xdr:colOff>133350</xdr:colOff>
      <xdr:row>21</xdr:row>
      <xdr:rowOff>76200</xdr:rowOff>
    </xdr:from>
    <xdr:to>
      <xdr:col>8</xdr:col>
      <xdr:colOff>447675</xdr:colOff>
      <xdr:row>23</xdr:row>
      <xdr:rowOff>57150</xdr:rowOff>
    </xdr:to>
    <xdr:sp macro="" textlink="">
      <xdr:nvSpPr>
        <xdr:cNvPr id="124" name="Oval 223">
          <a:extLst>
            <a:ext uri="{FF2B5EF4-FFF2-40B4-BE49-F238E27FC236}">
              <a16:creationId xmlns:a16="http://schemas.microsoft.com/office/drawing/2014/main" id="{AC2F6AA5-9526-4EF1-99EF-2FDDF9005E92}"/>
            </a:ext>
          </a:extLst>
        </xdr:cNvPr>
        <xdr:cNvSpPr>
          <a:spLocks noChangeArrowheads="1"/>
        </xdr:cNvSpPr>
      </xdr:nvSpPr>
      <xdr:spPr bwMode="auto">
        <a:xfrm>
          <a:off x="5010150" y="3752850"/>
          <a:ext cx="314325" cy="466725"/>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L</a:t>
          </a:r>
        </a:p>
      </xdr:txBody>
    </xdr:sp>
    <xdr:clientData/>
  </xdr:twoCellAnchor>
  <xdr:twoCellAnchor>
    <xdr:from>
      <xdr:col>8</xdr:col>
      <xdr:colOff>533400</xdr:colOff>
      <xdr:row>15</xdr:row>
      <xdr:rowOff>104775</xdr:rowOff>
    </xdr:from>
    <xdr:to>
      <xdr:col>9</xdr:col>
      <xdr:colOff>238125</xdr:colOff>
      <xdr:row>17</xdr:row>
      <xdr:rowOff>85725</xdr:rowOff>
    </xdr:to>
    <xdr:sp macro="" textlink="">
      <xdr:nvSpPr>
        <xdr:cNvPr id="125" name="Oval 228">
          <a:extLst>
            <a:ext uri="{FF2B5EF4-FFF2-40B4-BE49-F238E27FC236}">
              <a16:creationId xmlns:a16="http://schemas.microsoft.com/office/drawing/2014/main" id="{AE7C384F-51C2-4938-9297-79353F11087C}"/>
            </a:ext>
          </a:extLst>
        </xdr:cNvPr>
        <xdr:cNvSpPr>
          <a:spLocks noChangeArrowheads="1"/>
        </xdr:cNvSpPr>
      </xdr:nvSpPr>
      <xdr:spPr bwMode="auto">
        <a:xfrm>
          <a:off x="5410200" y="28098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N</a:t>
          </a:r>
        </a:p>
      </xdr:txBody>
    </xdr:sp>
    <xdr:clientData/>
  </xdr:twoCellAnchor>
  <xdr:twoCellAnchor>
    <xdr:from>
      <xdr:col>11</xdr:col>
      <xdr:colOff>295275</xdr:colOff>
      <xdr:row>28</xdr:row>
      <xdr:rowOff>0</xdr:rowOff>
    </xdr:from>
    <xdr:to>
      <xdr:col>12</xdr:col>
      <xdr:colOff>0</xdr:colOff>
      <xdr:row>29</xdr:row>
      <xdr:rowOff>142875</xdr:rowOff>
    </xdr:to>
    <xdr:sp macro="" textlink="">
      <xdr:nvSpPr>
        <xdr:cNvPr id="126" name="Oval 229">
          <a:extLst>
            <a:ext uri="{FF2B5EF4-FFF2-40B4-BE49-F238E27FC236}">
              <a16:creationId xmlns:a16="http://schemas.microsoft.com/office/drawing/2014/main" id="{001AFCB7-570C-453B-A4A5-6295ACB32DDE}"/>
            </a:ext>
          </a:extLst>
        </xdr:cNvPr>
        <xdr:cNvSpPr>
          <a:spLocks noChangeArrowheads="1"/>
        </xdr:cNvSpPr>
      </xdr:nvSpPr>
      <xdr:spPr bwMode="auto">
        <a:xfrm>
          <a:off x="7000875" y="51339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P</a:t>
          </a:r>
        </a:p>
      </xdr:txBody>
    </xdr:sp>
    <xdr:clientData/>
  </xdr:twoCellAnchor>
  <xdr:twoCellAnchor>
    <xdr:from>
      <xdr:col>12</xdr:col>
      <xdr:colOff>485775</xdr:colOff>
      <xdr:row>25</xdr:row>
      <xdr:rowOff>133351</xdr:rowOff>
    </xdr:from>
    <xdr:to>
      <xdr:col>13</xdr:col>
      <xdr:colOff>154781</xdr:colOff>
      <xdr:row>27</xdr:row>
      <xdr:rowOff>103188</xdr:rowOff>
    </xdr:to>
    <xdr:sp macro="" textlink="">
      <xdr:nvSpPr>
        <xdr:cNvPr id="127" name="Oval 230">
          <a:extLst>
            <a:ext uri="{FF2B5EF4-FFF2-40B4-BE49-F238E27FC236}">
              <a16:creationId xmlns:a16="http://schemas.microsoft.com/office/drawing/2014/main" id="{049FC88D-6B03-4C6A-8DDE-E5DBCC5AB011}"/>
            </a:ext>
          </a:extLst>
        </xdr:cNvPr>
        <xdr:cNvSpPr>
          <a:spLocks noChangeArrowheads="1"/>
        </xdr:cNvSpPr>
      </xdr:nvSpPr>
      <xdr:spPr bwMode="auto">
        <a:xfrm>
          <a:off x="7800975" y="4619626"/>
          <a:ext cx="278606" cy="455612"/>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Q</a:t>
          </a:r>
        </a:p>
      </xdr:txBody>
    </xdr:sp>
    <xdr:clientData/>
  </xdr:twoCellAnchor>
  <xdr:twoCellAnchor>
    <xdr:from>
      <xdr:col>10</xdr:col>
      <xdr:colOff>485775</xdr:colOff>
      <xdr:row>13</xdr:row>
      <xdr:rowOff>123825</xdr:rowOff>
    </xdr:from>
    <xdr:to>
      <xdr:col>11</xdr:col>
      <xdr:colOff>390525</xdr:colOff>
      <xdr:row>28</xdr:row>
      <xdr:rowOff>9525</xdr:rowOff>
    </xdr:to>
    <xdr:sp macro="" textlink="">
      <xdr:nvSpPr>
        <xdr:cNvPr id="128" name="Line 231">
          <a:extLst>
            <a:ext uri="{FF2B5EF4-FFF2-40B4-BE49-F238E27FC236}">
              <a16:creationId xmlns:a16="http://schemas.microsoft.com/office/drawing/2014/main" id="{1769E98D-2084-45DE-A8D9-6B13C621BF2C}"/>
            </a:ext>
          </a:extLst>
        </xdr:cNvPr>
        <xdr:cNvSpPr>
          <a:spLocks noChangeShapeType="1"/>
        </xdr:cNvSpPr>
      </xdr:nvSpPr>
      <xdr:spPr bwMode="auto">
        <a:xfrm flipH="1" flipV="1">
          <a:off x="6581775" y="2505075"/>
          <a:ext cx="514350" cy="2638425"/>
        </a:xfrm>
        <a:prstGeom prst="line">
          <a:avLst/>
        </a:prstGeom>
        <a:noFill/>
        <a:ln w="25400">
          <a:solidFill>
            <a:srgbClr val="FF0000"/>
          </a:solidFill>
          <a:round/>
          <a:headEnd/>
          <a:tailEnd type="triangle" w="med" len="lg"/>
        </a:ln>
      </xdr:spPr>
    </xdr:sp>
    <xdr:clientData/>
  </xdr:twoCellAnchor>
  <xdr:twoCellAnchor>
    <xdr:from>
      <xdr:col>11</xdr:col>
      <xdr:colOff>219075</xdr:colOff>
      <xdr:row>12</xdr:row>
      <xdr:rowOff>142875</xdr:rowOff>
    </xdr:from>
    <xdr:to>
      <xdr:col>12</xdr:col>
      <xdr:colOff>561975</xdr:colOff>
      <xdr:row>25</xdr:row>
      <xdr:rowOff>142875</xdr:rowOff>
    </xdr:to>
    <xdr:sp macro="" textlink="">
      <xdr:nvSpPr>
        <xdr:cNvPr id="129" name="Line 232">
          <a:extLst>
            <a:ext uri="{FF2B5EF4-FFF2-40B4-BE49-F238E27FC236}">
              <a16:creationId xmlns:a16="http://schemas.microsoft.com/office/drawing/2014/main" id="{AFD57380-8628-4D95-8C6F-3F5D2E3DFFAC}"/>
            </a:ext>
          </a:extLst>
        </xdr:cNvPr>
        <xdr:cNvSpPr>
          <a:spLocks noChangeShapeType="1"/>
        </xdr:cNvSpPr>
      </xdr:nvSpPr>
      <xdr:spPr bwMode="auto">
        <a:xfrm flipH="1" flipV="1">
          <a:off x="6924675" y="2200275"/>
          <a:ext cx="952500" cy="2428875"/>
        </a:xfrm>
        <a:prstGeom prst="line">
          <a:avLst/>
        </a:prstGeom>
        <a:noFill/>
        <a:ln w="25400">
          <a:solidFill>
            <a:srgbClr val="FF0000"/>
          </a:solidFill>
          <a:round/>
          <a:headEnd/>
          <a:tailEnd type="triangle" w="med" len="lg"/>
        </a:ln>
      </xdr:spPr>
    </xdr:sp>
    <xdr:clientData/>
  </xdr:twoCellAnchor>
  <xdr:twoCellAnchor>
    <xdr:from>
      <xdr:col>12</xdr:col>
      <xdr:colOff>457200</xdr:colOff>
      <xdr:row>19</xdr:row>
      <xdr:rowOff>142875</xdr:rowOff>
    </xdr:from>
    <xdr:to>
      <xdr:col>13</xdr:col>
      <xdr:colOff>161925</xdr:colOff>
      <xdr:row>21</xdr:row>
      <xdr:rowOff>123825</xdr:rowOff>
    </xdr:to>
    <xdr:sp macro="" textlink="">
      <xdr:nvSpPr>
        <xdr:cNvPr id="130" name="Oval 233">
          <a:extLst>
            <a:ext uri="{FF2B5EF4-FFF2-40B4-BE49-F238E27FC236}">
              <a16:creationId xmlns:a16="http://schemas.microsoft.com/office/drawing/2014/main" id="{FD2DD7F6-080B-40EF-8718-9A13D61EE04F}"/>
            </a:ext>
          </a:extLst>
        </xdr:cNvPr>
        <xdr:cNvSpPr>
          <a:spLocks noChangeArrowheads="1"/>
        </xdr:cNvSpPr>
      </xdr:nvSpPr>
      <xdr:spPr bwMode="auto">
        <a:xfrm>
          <a:off x="7772400" y="349567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S</a:t>
          </a:r>
        </a:p>
      </xdr:txBody>
    </xdr:sp>
    <xdr:clientData/>
  </xdr:twoCellAnchor>
  <xdr:twoCellAnchor>
    <xdr:from>
      <xdr:col>11</xdr:col>
      <xdr:colOff>602455</xdr:colOff>
      <xdr:row>6</xdr:row>
      <xdr:rowOff>26194</xdr:rowOff>
    </xdr:from>
    <xdr:to>
      <xdr:col>12</xdr:col>
      <xdr:colOff>307180</xdr:colOff>
      <xdr:row>8</xdr:row>
      <xdr:rowOff>7144</xdr:rowOff>
    </xdr:to>
    <xdr:sp macro="" textlink="">
      <xdr:nvSpPr>
        <xdr:cNvPr id="131" name="Oval 234">
          <a:extLst>
            <a:ext uri="{FF2B5EF4-FFF2-40B4-BE49-F238E27FC236}">
              <a16:creationId xmlns:a16="http://schemas.microsoft.com/office/drawing/2014/main" id="{BD341420-AEA2-4AFF-ABEE-8D8BBEA53F0F}"/>
            </a:ext>
          </a:extLst>
        </xdr:cNvPr>
        <xdr:cNvSpPr>
          <a:spLocks noChangeArrowheads="1"/>
        </xdr:cNvSpPr>
      </xdr:nvSpPr>
      <xdr:spPr bwMode="auto">
        <a:xfrm>
          <a:off x="7308055" y="1112044"/>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R</a:t>
          </a:r>
        </a:p>
      </xdr:txBody>
    </xdr:sp>
    <xdr:clientData/>
  </xdr:twoCellAnchor>
  <xdr:twoCellAnchor>
    <xdr:from>
      <xdr:col>10</xdr:col>
      <xdr:colOff>85725</xdr:colOff>
      <xdr:row>3</xdr:row>
      <xdr:rowOff>104775</xdr:rowOff>
    </xdr:from>
    <xdr:to>
      <xdr:col>10</xdr:col>
      <xdr:colOff>400050</xdr:colOff>
      <xdr:row>5</xdr:row>
      <xdr:rowOff>85725</xdr:rowOff>
    </xdr:to>
    <xdr:sp macro="" textlink="">
      <xdr:nvSpPr>
        <xdr:cNvPr id="132" name="Oval 235">
          <a:extLst>
            <a:ext uri="{FF2B5EF4-FFF2-40B4-BE49-F238E27FC236}">
              <a16:creationId xmlns:a16="http://schemas.microsoft.com/office/drawing/2014/main" id="{AA2D9C31-F641-4338-9FF0-15584F4F0BAF}"/>
            </a:ext>
          </a:extLst>
        </xdr:cNvPr>
        <xdr:cNvSpPr>
          <a:spLocks noChangeArrowheads="1"/>
        </xdr:cNvSpPr>
      </xdr:nvSpPr>
      <xdr:spPr bwMode="auto">
        <a:xfrm>
          <a:off x="6181725" y="704850"/>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O</a:t>
          </a:r>
        </a:p>
      </xdr:txBody>
    </xdr:sp>
    <xdr:clientData/>
  </xdr:twoCellAnchor>
  <xdr:twoCellAnchor>
    <xdr:from>
      <xdr:col>3</xdr:col>
      <xdr:colOff>571500</xdr:colOff>
      <xdr:row>3</xdr:row>
      <xdr:rowOff>133350</xdr:rowOff>
    </xdr:from>
    <xdr:to>
      <xdr:col>4</xdr:col>
      <xdr:colOff>504825</xdr:colOff>
      <xdr:row>6</xdr:row>
      <xdr:rowOff>9525</xdr:rowOff>
    </xdr:to>
    <xdr:sp macro="" textlink="">
      <xdr:nvSpPr>
        <xdr:cNvPr id="133" name="Oval 236">
          <a:extLst>
            <a:ext uri="{FF2B5EF4-FFF2-40B4-BE49-F238E27FC236}">
              <a16:creationId xmlns:a16="http://schemas.microsoft.com/office/drawing/2014/main" id="{83A29F84-0D13-4B19-8FB9-ED2E9D566292}"/>
            </a:ext>
          </a:extLst>
        </xdr:cNvPr>
        <xdr:cNvSpPr>
          <a:spLocks noChangeArrowheads="1"/>
        </xdr:cNvSpPr>
      </xdr:nvSpPr>
      <xdr:spPr bwMode="auto">
        <a:xfrm>
          <a:off x="2400300" y="733425"/>
          <a:ext cx="542925" cy="36195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C</a:t>
          </a:r>
        </a:p>
      </xdr:txBody>
    </xdr:sp>
    <xdr:clientData/>
  </xdr:twoCellAnchor>
  <xdr:twoCellAnchor>
    <xdr:from>
      <xdr:col>1</xdr:col>
      <xdr:colOff>333375</xdr:colOff>
      <xdr:row>7</xdr:row>
      <xdr:rowOff>47625</xdr:rowOff>
    </xdr:from>
    <xdr:to>
      <xdr:col>15</xdr:col>
      <xdr:colOff>295275</xdr:colOff>
      <xdr:row>34</xdr:row>
      <xdr:rowOff>38100</xdr:rowOff>
    </xdr:to>
    <xdr:sp macro="" textlink="">
      <xdr:nvSpPr>
        <xdr:cNvPr id="134" name="Freeform 238">
          <a:extLst>
            <a:ext uri="{FF2B5EF4-FFF2-40B4-BE49-F238E27FC236}">
              <a16:creationId xmlns:a16="http://schemas.microsoft.com/office/drawing/2014/main" id="{62086154-7F95-4CFA-A401-B98393B5D1A3}"/>
            </a:ext>
          </a:extLst>
        </xdr:cNvPr>
        <xdr:cNvSpPr>
          <a:spLocks/>
        </xdr:cNvSpPr>
      </xdr:nvSpPr>
      <xdr:spPr bwMode="auto">
        <a:xfrm>
          <a:off x="942975" y="1295400"/>
          <a:ext cx="8496300" cy="5172075"/>
        </a:xfrm>
        <a:custGeom>
          <a:avLst/>
          <a:gdLst>
            <a:gd name="T0" fmla="*/ 2147483647 w 892"/>
            <a:gd name="T1" fmla="*/ 2147483647 h 458"/>
            <a:gd name="T2" fmla="*/ 2147483647 w 892"/>
            <a:gd name="T3" fmla="*/ 2147483647 h 458"/>
            <a:gd name="T4" fmla="*/ 2147483647 w 892"/>
            <a:gd name="T5" fmla="*/ 2147483647 h 458"/>
            <a:gd name="T6" fmla="*/ 2147483647 w 892"/>
            <a:gd name="T7" fmla="*/ 2147483647 h 458"/>
            <a:gd name="T8" fmla="*/ 2147483647 w 892"/>
            <a:gd name="T9" fmla="*/ 2147483647 h 458"/>
            <a:gd name="T10" fmla="*/ 2147483647 w 892"/>
            <a:gd name="T11" fmla="*/ 2147483647 h 458"/>
            <a:gd name="T12" fmla="*/ 2147483647 w 892"/>
            <a:gd name="T13" fmla="*/ 2147483647 h 458"/>
            <a:gd name="T14" fmla="*/ 2147483647 w 892"/>
            <a:gd name="T15" fmla="*/ 2147483647 h 458"/>
            <a:gd name="T16" fmla="*/ 2147483647 w 892"/>
            <a:gd name="T17" fmla="*/ 2147483647 h 458"/>
            <a:gd name="T18" fmla="*/ 2147483647 w 892"/>
            <a:gd name="T19" fmla="*/ 2147483647 h 458"/>
            <a:gd name="T20" fmla="*/ 2147483647 w 892"/>
            <a:gd name="T21" fmla="*/ 2147483647 h 458"/>
            <a:gd name="T22" fmla="*/ 2147483647 w 892"/>
            <a:gd name="T23" fmla="*/ 2147483647 h 458"/>
            <a:gd name="T24" fmla="*/ 2147483647 w 892"/>
            <a:gd name="T25" fmla="*/ 2147483647 h 458"/>
            <a:gd name="T26" fmla="*/ 2147483647 w 892"/>
            <a:gd name="T27" fmla="*/ 2147483647 h 458"/>
            <a:gd name="T28" fmla="*/ 2147483647 w 892"/>
            <a:gd name="T29" fmla="*/ 2147483647 h 458"/>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w 892"/>
            <a:gd name="T46" fmla="*/ 0 h 458"/>
            <a:gd name="T47" fmla="*/ 892 w 892"/>
            <a:gd name="T48" fmla="*/ 458 h 458"/>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T45" t="T46" r="T47" b="T48"/>
          <a:pathLst>
            <a:path w="892" h="458">
              <a:moveTo>
                <a:pt x="20" y="420"/>
              </a:moveTo>
              <a:cubicBezTo>
                <a:pt x="44" y="439"/>
                <a:pt x="69" y="458"/>
                <a:pt x="106" y="457"/>
              </a:cubicBezTo>
              <a:cubicBezTo>
                <a:pt x="143" y="456"/>
                <a:pt x="207" y="454"/>
                <a:pt x="242" y="412"/>
              </a:cubicBezTo>
              <a:cubicBezTo>
                <a:pt x="277" y="370"/>
                <a:pt x="278" y="253"/>
                <a:pt x="319" y="206"/>
              </a:cubicBezTo>
              <a:cubicBezTo>
                <a:pt x="360" y="159"/>
                <a:pt x="427" y="134"/>
                <a:pt x="487" y="127"/>
              </a:cubicBezTo>
              <a:cubicBezTo>
                <a:pt x="547" y="120"/>
                <a:pt x="619" y="159"/>
                <a:pt x="679" y="163"/>
              </a:cubicBezTo>
              <a:cubicBezTo>
                <a:pt x="739" y="167"/>
                <a:pt x="813" y="164"/>
                <a:pt x="847" y="149"/>
              </a:cubicBezTo>
              <a:cubicBezTo>
                <a:pt x="881" y="134"/>
                <a:pt x="892" y="92"/>
                <a:pt x="883" y="70"/>
              </a:cubicBezTo>
              <a:cubicBezTo>
                <a:pt x="874" y="48"/>
                <a:pt x="882" y="26"/>
                <a:pt x="790" y="17"/>
              </a:cubicBezTo>
              <a:cubicBezTo>
                <a:pt x="698" y="8"/>
                <a:pt x="427" y="0"/>
                <a:pt x="328" y="17"/>
              </a:cubicBezTo>
              <a:cubicBezTo>
                <a:pt x="229" y="34"/>
                <a:pt x="215" y="79"/>
                <a:pt x="194" y="117"/>
              </a:cubicBezTo>
              <a:cubicBezTo>
                <a:pt x="173" y="155"/>
                <a:pt x="211" y="216"/>
                <a:pt x="204" y="245"/>
              </a:cubicBezTo>
              <a:cubicBezTo>
                <a:pt x="197" y="274"/>
                <a:pt x="182" y="283"/>
                <a:pt x="152" y="292"/>
              </a:cubicBezTo>
              <a:cubicBezTo>
                <a:pt x="122" y="301"/>
                <a:pt x="44" y="276"/>
                <a:pt x="22" y="297"/>
              </a:cubicBezTo>
              <a:cubicBezTo>
                <a:pt x="0" y="318"/>
                <a:pt x="18" y="399"/>
                <a:pt x="18" y="420"/>
              </a:cubicBezTo>
            </a:path>
          </a:pathLst>
        </a:custGeom>
        <a:noFill/>
        <a:ln w="25400">
          <a:solidFill>
            <a:srgbClr val="3366FF"/>
          </a:solidFill>
          <a:round/>
          <a:headEnd/>
          <a:tailEnd/>
        </a:ln>
      </xdr:spPr>
    </xdr:sp>
    <xdr:clientData/>
  </xdr:twoCellAnchor>
  <xdr:twoCellAnchor>
    <xdr:from>
      <xdr:col>16</xdr:col>
      <xdr:colOff>161925</xdr:colOff>
      <xdr:row>2</xdr:row>
      <xdr:rowOff>38099</xdr:rowOff>
    </xdr:from>
    <xdr:to>
      <xdr:col>16</xdr:col>
      <xdr:colOff>476250</xdr:colOff>
      <xdr:row>4</xdr:row>
      <xdr:rowOff>47624</xdr:rowOff>
    </xdr:to>
    <xdr:sp macro="" textlink="">
      <xdr:nvSpPr>
        <xdr:cNvPr id="135" name="Oval 240">
          <a:extLst>
            <a:ext uri="{FF2B5EF4-FFF2-40B4-BE49-F238E27FC236}">
              <a16:creationId xmlns:a16="http://schemas.microsoft.com/office/drawing/2014/main" id="{79B89769-24F3-4614-A041-2B112BA322BD}"/>
            </a:ext>
          </a:extLst>
        </xdr:cNvPr>
        <xdr:cNvSpPr>
          <a:spLocks noChangeArrowheads="1"/>
        </xdr:cNvSpPr>
      </xdr:nvSpPr>
      <xdr:spPr bwMode="auto">
        <a:xfrm>
          <a:off x="9915525" y="476249"/>
          <a:ext cx="314325" cy="333375"/>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W</a:t>
          </a:r>
        </a:p>
      </xdr:txBody>
    </xdr:sp>
    <xdr:clientData/>
  </xdr:twoCellAnchor>
  <xdr:twoCellAnchor>
    <xdr:from>
      <xdr:col>16</xdr:col>
      <xdr:colOff>38100</xdr:colOff>
      <xdr:row>19</xdr:row>
      <xdr:rowOff>17453</xdr:rowOff>
    </xdr:from>
    <xdr:to>
      <xdr:col>16</xdr:col>
      <xdr:colOff>352425</xdr:colOff>
      <xdr:row>21</xdr:row>
      <xdr:rowOff>1578</xdr:rowOff>
    </xdr:to>
    <xdr:sp macro="" textlink="">
      <xdr:nvSpPr>
        <xdr:cNvPr id="136" name="Oval 241">
          <a:extLst>
            <a:ext uri="{FF2B5EF4-FFF2-40B4-BE49-F238E27FC236}">
              <a16:creationId xmlns:a16="http://schemas.microsoft.com/office/drawing/2014/main" id="{FBF66292-4E6C-4E77-B8CB-6EA2B772A1DE}"/>
            </a:ext>
          </a:extLst>
        </xdr:cNvPr>
        <xdr:cNvSpPr>
          <a:spLocks noChangeArrowheads="1"/>
        </xdr:cNvSpPr>
      </xdr:nvSpPr>
      <xdr:spPr bwMode="auto">
        <a:xfrm>
          <a:off x="9791700" y="3370253"/>
          <a:ext cx="314325" cy="307975"/>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X</a:t>
          </a:r>
        </a:p>
      </xdr:txBody>
    </xdr:sp>
    <xdr:clientData/>
  </xdr:twoCellAnchor>
  <xdr:twoCellAnchor>
    <xdr:from>
      <xdr:col>14</xdr:col>
      <xdr:colOff>66675</xdr:colOff>
      <xdr:row>3</xdr:row>
      <xdr:rowOff>57150</xdr:rowOff>
    </xdr:from>
    <xdr:to>
      <xdr:col>14</xdr:col>
      <xdr:colOff>381000</xdr:colOff>
      <xdr:row>5</xdr:row>
      <xdr:rowOff>38100</xdr:rowOff>
    </xdr:to>
    <xdr:sp macro="" textlink="">
      <xdr:nvSpPr>
        <xdr:cNvPr id="137" name="Oval 243">
          <a:extLst>
            <a:ext uri="{FF2B5EF4-FFF2-40B4-BE49-F238E27FC236}">
              <a16:creationId xmlns:a16="http://schemas.microsoft.com/office/drawing/2014/main" id="{69F6667D-612B-44CC-8705-9BCB2B23B426}"/>
            </a:ext>
          </a:extLst>
        </xdr:cNvPr>
        <xdr:cNvSpPr>
          <a:spLocks noChangeArrowheads="1"/>
        </xdr:cNvSpPr>
      </xdr:nvSpPr>
      <xdr:spPr bwMode="auto">
        <a:xfrm>
          <a:off x="8601075" y="657225"/>
          <a:ext cx="314325" cy="304800"/>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U</a:t>
          </a:r>
        </a:p>
      </xdr:txBody>
    </xdr:sp>
    <xdr:clientData/>
  </xdr:twoCellAnchor>
  <xdr:twoCellAnchor>
    <xdr:from>
      <xdr:col>16</xdr:col>
      <xdr:colOff>457200</xdr:colOff>
      <xdr:row>5</xdr:row>
      <xdr:rowOff>114300</xdr:rowOff>
    </xdr:from>
    <xdr:to>
      <xdr:col>17</xdr:col>
      <xdr:colOff>161925</xdr:colOff>
      <xdr:row>7</xdr:row>
      <xdr:rowOff>95250</xdr:rowOff>
    </xdr:to>
    <xdr:sp macro="" textlink="">
      <xdr:nvSpPr>
        <xdr:cNvPr id="138" name="Oval 244">
          <a:extLst>
            <a:ext uri="{FF2B5EF4-FFF2-40B4-BE49-F238E27FC236}">
              <a16:creationId xmlns:a16="http://schemas.microsoft.com/office/drawing/2014/main" id="{2B5013B4-07BF-490A-A1CA-5690EEDF63CC}"/>
            </a:ext>
          </a:extLst>
        </xdr:cNvPr>
        <xdr:cNvSpPr>
          <a:spLocks noChangeArrowheads="1"/>
        </xdr:cNvSpPr>
      </xdr:nvSpPr>
      <xdr:spPr bwMode="auto">
        <a:xfrm>
          <a:off x="10210800" y="1038225"/>
          <a:ext cx="314325" cy="30480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Y</a:t>
          </a:r>
        </a:p>
      </xdr:txBody>
    </xdr:sp>
    <xdr:clientData/>
  </xdr:twoCellAnchor>
  <xdr:twoCellAnchor>
    <xdr:from>
      <xdr:col>16</xdr:col>
      <xdr:colOff>476246</xdr:colOff>
      <xdr:row>7</xdr:row>
      <xdr:rowOff>76200</xdr:rowOff>
    </xdr:from>
    <xdr:to>
      <xdr:col>16</xdr:col>
      <xdr:colOff>600074</xdr:colOff>
      <xdr:row>14</xdr:row>
      <xdr:rowOff>66675</xdr:rowOff>
    </xdr:to>
    <xdr:sp macro="" textlink="">
      <xdr:nvSpPr>
        <xdr:cNvPr id="139" name="Line 246">
          <a:extLst>
            <a:ext uri="{FF2B5EF4-FFF2-40B4-BE49-F238E27FC236}">
              <a16:creationId xmlns:a16="http://schemas.microsoft.com/office/drawing/2014/main" id="{2975F594-D1BA-4A6F-8955-321B317659E1}"/>
            </a:ext>
          </a:extLst>
        </xdr:cNvPr>
        <xdr:cNvSpPr>
          <a:spLocks noChangeShapeType="1"/>
        </xdr:cNvSpPr>
      </xdr:nvSpPr>
      <xdr:spPr bwMode="auto">
        <a:xfrm flipH="1">
          <a:off x="10229846" y="1323975"/>
          <a:ext cx="123828" cy="1285875"/>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13</xdr:col>
      <xdr:colOff>542925</xdr:colOff>
      <xdr:row>15</xdr:row>
      <xdr:rowOff>66674</xdr:rowOff>
    </xdr:from>
    <xdr:to>
      <xdr:col>13</xdr:col>
      <xdr:colOff>542925</xdr:colOff>
      <xdr:row>28</xdr:row>
      <xdr:rowOff>123823</xdr:rowOff>
    </xdr:to>
    <xdr:sp macro="" textlink="">
      <xdr:nvSpPr>
        <xdr:cNvPr id="140" name="Line 247">
          <a:extLst>
            <a:ext uri="{FF2B5EF4-FFF2-40B4-BE49-F238E27FC236}">
              <a16:creationId xmlns:a16="http://schemas.microsoft.com/office/drawing/2014/main" id="{80851EC6-EDC5-4AB0-B21B-643ABDEDE46C}"/>
            </a:ext>
          </a:extLst>
        </xdr:cNvPr>
        <xdr:cNvSpPr>
          <a:spLocks noChangeShapeType="1"/>
        </xdr:cNvSpPr>
      </xdr:nvSpPr>
      <xdr:spPr bwMode="auto">
        <a:xfrm flipH="1" flipV="1">
          <a:off x="8467725" y="2771774"/>
          <a:ext cx="0" cy="2486024"/>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13</xdr:col>
      <xdr:colOff>385763</xdr:colOff>
      <xdr:row>28</xdr:row>
      <xdr:rowOff>104777</xdr:rowOff>
    </xdr:from>
    <xdr:to>
      <xdr:col>14</xdr:col>
      <xdr:colOff>90488</xdr:colOff>
      <xdr:row>30</xdr:row>
      <xdr:rowOff>80964</xdr:rowOff>
    </xdr:to>
    <xdr:sp macro="" textlink="">
      <xdr:nvSpPr>
        <xdr:cNvPr id="141" name="Oval 250">
          <a:extLst>
            <a:ext uri="{FF2B5EF4-FFF2-40B4-BE49-F238E27FC236}">
              <a16:creationId xmlns:a16="http://schemas.microsoft.com/office/drawing/2014/main" id="{A30D1A45-DC1F-448A-BACA-6625B13B71B4}"/>
            </a:ext>
          </a:extLst>
        </xdr:cNvPr>
        <xdr:cNvSpPr>
          <a:spLocks noChangeArrowheads="1"/>
        </xdr:cNvSpPr>
      </xdr:nvSpPr>
      <xdr:spPr bwMode="auto">
        <a:xfrm>
          <a:off x="8310563" y="5238752"/>
          <a:ext cx="314325" cy="461962"/>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T</a:t>
          </a:r>
        </a:p>
      </xdr:txBody>
    </xdr:sp>
    <xdr:clientData/>
  </xdr:twoCellAnchor>
  <xdr:twoCellAnchor>
    <xdr:from>
      <xdr:col>6</xdr:col>
      <xdr:colOff>523875</xdr:colOff>
      <xdr:row>13</xdr:row>
      <xdr:rowOff>28575</xdr:rowOff>
    </xdr:from>
    <xdr:to>
      <xdr:col>8</xdr:col>
      <xdr:colOff>47625</xdr:colOff>
      <xdr:row>19</xdr:row>
      <xdr:rowOff>57150</xdr:rowOff>
    </xdr:to>
    <xdr:sp macro="" textlink="">
      <xdr:nvSpPr>
        <xdr:cNvPr id="142" name="Line 251">
          <a:extLst>
            <a:ext uri="{FF2B5EF4-FFF2-40B4-BE49-F238E27FC236}">
              <a16:creationId xmlns:a16="http://schemas.microsoft.com/office/drawing/2014/main" id="{1460FCBE-A91F-47EC-8EAB-27E95F2E577C}"/>
            </a:ext>
          </a:extLst>
        </xdr:cNvPr>
        <xdr:cNvSpPr>
          <a:spLocks noChangeShapeType="1"/>
        </xdr:cNvSpPr>
      </xdr:nvSpPr>
      <xdr:spPr bwMode="auto">
        <a:xfrm flipH="1" flipV="1">
          <a:off x="4181475" y="2409825"/>
          <a:ext cx="742950" cy="1000125"/>
        </a:xfrm>
        <a:prstGeom prst="line">
          <a:avLst/>
        </a:prstGeom>
        <a:noFill/>
        <a:ln w="28575">
          <a:solidFill>
            <a:srgbClr val="FF0000"/>
          </a:solidFill>
          <a:round/>
          <a:headEnd/>
          <a:tailEnd type="triangle" w="med" len="med"/>
        </a:ln>
      </xdr:spPr>
    </xdr:sp>
    <xdr:clientData/>
  </xdr:twoCellAnchor>
  <xdr:twoCellAnchor>
    <xdr:from>
      <xdr:col>8</xdr:col>
      <xdr:colOff>485775</xdr:colOff>
      <xdr:row>12</xdr:row>
      <xdr:rowOff>133350</xdr:rowOff>
    </xdr:from>
    <xdr:to>
      <xdr:col>8</xdr:col>
      <xdr:colOff>485775</xdr:colOff>
      <xdr:row>19</xdr:row>
      <xdr:rowOff>28575</xdr:rowOff>
    </xdr:to>
    <xdr:sp macro="" textlink="">
      <xdr:nvSpPr>
        <xdr:cNvPr id="143" name="Line 252">
          <a:extLst>
            <a:ext uri="{FF2B5EF4-FFF2-40B4-BE49-F238E27FC236}">
              <a16:creationId xmlns:a16="http://schemas.microsoft.com/office/drawing/2014/main" id="{E722DC24-3B87-42E6-9B08-048D9A8731E8}"/>
            </a:ext>
          </a:extLst>
        </xdr:cNvPr>
        <xdr:cNvSpPr>
          <a:spLocks noChangeShapeType="1"/>
        </xdr:cNvSpPr>
      </xdr:nvSpPr>
      <xdr:spPr bwMode="auto">
        <a:xfrm flipV="1">
          <a:off x="5362575" y="2190750"/>
          <a:ext cx="0" cy="1190625"/>
        </a:xfrm>
        <a:prstGeom prst="line">
          <a:avLst/>
        </a:prstGeom>
        <a:noFill/>
        <a:ln w="28575">
          <a:solidFill>
            <a:srgbClr val="FF0000"/>
          </a:solidFill>
          <a:round/>
          <a:headEnd/>
          <a:tailEnd type="triangle" w="med" len="med"/>
        </a:ln>
      </xdr:spPr>
    </xdr:sp>
    <xdr:clientData/>
  </xdr:twoCellAnchor>
  <xdr:twoCellAnchor>
    <xdr:from>
      <xdr:col>2</xdr:col>
      <xdr:colOff>266700</xdr:colOff>
      <xdr:row>5</xdr:row>
      <xdr:rowOff>57150</xdr:rowOff>
    </xdr:from>
    <xdr:to>
      <xdr:col>3</xdr:col>
      <xdr:colOff>200025</xdr:colOff>
      <xdr:row>7</xdr:row>
      <xdr:rowOff>95250</xdr:rowOff>
    </xdr:to>
    <xdr:sp macro="" textlink="">
      <xdr:nvSpPr>
        <xdr:cNvPr id="144" name="Oval 253">
          <a:extLst>
            <a:ext uri="{FF2B5EF4-FFF2-40B4-BE49-F238E27FC236}">
              <a16:creationId xmlns:a16="http://schemas.microsoft.com/office/drawing/2014/main" id="{034026D6-66ED-4605-98BB-E66C20D7E5A2}"/>
            </a:ext>
          </a:extLst>
        </xdr:cNvPr>
        <xdr:cNvSpPr>
          <a:spLocks noChangeArrowheads="1"/>
        </xdr:cNvSpPr>
      </xdr:nvSpPr>
      <xdr:spPr bwMode="auto">
        <a:xfrm>
          <a:off x="1485900" y="981075"/>
          <a:ext cx="542925" cy="361950"/>
        </a:xfrm>
        <a:prstGeom prst="ellipse">
          <a:avLst/>
        </a:prstGeom>
        <a:solidFill>
          <a:srgbClr val="FF000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A</a:t>
          </a:r>
        </a:p>
      </xdr:txBody>
    </xdr:sp>
    <xdr:clientData/>
  </xdr:twoCellAnchor>
  <xdr:twoCellAnchor>
    <xdr:from>
      <xdr:col>1</xdr:col>
      <xdr:colOff>352425</xdr:colOff>
      <xdr:row>7</xdr:row>
      <xdr:rowOff>104775</xdr:rowOff>
    </xdr:from>
    <xdr:to>
      <xdr:col>2</xdr:col>
      <xdr:colOff>523875</xdr:colOff>
      <xdr:row>12</xdr:row>
      <xdr:rowOff>19050</xdr:rowOff>
    </xdr:to>
    <xdr:sp macro="" textlink="">
      <xdr:nvSpPr>
        <xdr:cNvPr id="145" name="Line 254">
          <a:extLst>
            <a:ext uri="{FF2B5EF4-FFF2-40B4-BE49-F238E27FC236}">
              <a16:creationId xmlns:a16="http://schemas.microsoft.com/office/drawing/2014/main" id="{E9C12D44-63FB-4E85-A7B4-B8BCB697CB8B}"/>
            </a:ext>
          </a:extLst>
        </xdr:cNvPr>
        <xdr:cNvSpPr>
          <a:spLocks noChangeShapeType="1"/>
        </xdr:cNvSpPr>
      </xdr:nvSpPr>
      <xdr:spPr bwMode="auto">
        <a:xfrm flipH="1">
          <a:off x="962025" y="1352550"/>
          <a:ext cx="781050" cy="723900"/>
        </a:xfrm>
        <a:prstGeom prst="line">
          <a:avLst/>
        </a:prstGeom>
        <a:noFill/>
        <a:ln w="28575">
          <a:solidFill>
            <a:srgbClr val="FF0000"/>
          </a:solidFill>
          <a:round/>
          <a:headEnd/>
          <a:tailEnd type="triangle" w="med" len="med"/>
        </a:ln>
      </xdr:spPr>
    </xdr:sp>
    <xdr:clientData/>
  </xdr:twoCellAnchor>
  <xdr:twoCellAnchor>
    <xdr:from>
      <xdr:col>0</xdr:col>
      <xdr:colOff>552450</xdr:colOff>
      <xdr:row>4</xdr:row>
      <xdr:rowOff>47625</xdr:rowOff>
    </xdr:from>
    <xdr:to>
      <xdr:col>2</xdr:col>
      <xdr:colOff>333375</xdr:colOff>
      <xdr:row>12</xdr:row>
      <xdr:rowOff>85725</xdr:rowOff>
    </xdr:to>
    <xdr:sp macro="" textlink="">
      <xdr:nvSpPr>
        <xdr:cNvPr id="146" name="Line 255">
          <a:extLst>
            <a:ext uri="{FF2B5EF4-FFF2-40B4-BE49-F238E27FC236}">
              <a16:creationId xmlns:a16="http://schemas.microsoft.com/office/drawing/2014/main" id="{BC0A5EB7-ADFA-4DB3-AEE1-3FC065BB0084}"/>
            </a:ext>
          </a:extLst>
        </xdr:cNvPr>
        <xdr:cNvSpPr>
          <a:spLocks noChangeShapeType="1"/>
        </xdr:cNvSpPr>
      </xdr:nvSpPr>
      <xdr:spPr bwMode="auto">
        <a:xfrm>
          <a:off x="552450" y="809625"/>
          <a:ext cx="1000125" cy="1333500"/>
        </a:xfrm>
        <a:prstGeom prst="line">
          <a:avLst/>
        </a:prstGeom>
        <a:noFill/>
        <a:ln w="28575">
          <a:solidFill>
            <a:srgbClr val="FF0000"/>
          </a:solidFill>
          <a:round/>
          <a:headEnd/>
          <a:tailEnd type="triangle" w="med" len="med"/>
        </a:ln>
      </xdr:spPr>
    </xdr:sp>
    <xdr:clientData/>
  </xdr:twoCellAnchor>
  <xdr:twoCellAnchor>
    <xdr:from>
      <xdr:col>3</xdr:col>
      <xdr:colOff>76200</xdr:colOff>
      <xdr:row>6</xdr:row>
      <xdr:rowOff>104775</xdr:rowOff>
    </xdr:from>
    <xdr:to>
      <xdr:col>4</xdr:col>
      <xdr:colOff>219075</xdr:colOff>
      <xdr:row>11</xdr:row>
      <xdr:rowOff>142875</xdr:rowOff>
    </xdr:to>
    <xdr:sp macro="" textlink="">
      <xdr:nvSpPr>
        <xdr:cNvPr id="147" name="Line 257">
          <a:extLst>
            <a:ext uri="{FF2B5EF4-FFF2-40B4-BE49-F238E27FC236}">
              <a16:creationId xmlns:a16="http://schemas.microsoft.com/office/drawing/2014/main" id="{BA07D7DF-0E49-48F0-BEA9-681FC91E1DF0}"/>
            </a:ext>
          </a:extLst>
        </xdr:cNvPr>
        <xdr:cNvSpPr>
          <a:spLocks noChangeShapeType="1"/>
        </xdr:cNvSpPr>
      </xdr:nvSpPr>
      <xdr:spPr bwMode="auto">
        <a:xfrm flipH="1">
          <a:off x="1905000" y="1190625"/>
          <a:ext cx="752475" cy="847725"/>
        </a:xfrm>
        <a:prstGeom prst="line">
          <a:avLst/>
        </a:prstGeom>
        <a:noFill/>
        <a:ln w="28575">
          <a:solidFill>
            <a:srgbClr val="FF0000"/>
          </a:solidFill>
          <a:round/>
          <a:headEnd/>
          <a:tailEnd type="triangle" w="med" len="med"/>
        </a:ln>
      </xdr:spPr>
    </xdr:sp>
    <xdr:clientData/>
  </xdr:twoCellAnchor>
  <xdr:twoCellAnchor>
    <xdr:from>
      <xdr:col>15</xdr:col>
      <xdr:colOff>485775</xdr:colOff>
      <xdr:row>11</xdr:row>
      <xdr:rowOff>142876</xdr:rowOff>
    </xdr:from>
    <xdr:to>
      <xdr:col>16</xdr:col>
      <xdr:colOff>130969</xdr:colOff>
      <xdr:row>12</xdr:row>
      <xdr:rowOff>188120</xdr:rowOff>
    </xdr:to>
    <xdr:grpSp>
      <xdr:nvGrpSpPr>
        <xdr:cNvPr id="148" name="Group 157">
          <a:extLst>
            <a:ext uri="{FF2B5EF4-FFF2-40B4-BE49-F238E27FC236}">
              <a16:creationId xmlns:a16="http://schemas.microsoft.com/office/drawing/2014/main" id="{BDB65E9B-73E4-4334-89BA-602C62E60137}"/>
            </a:ext>
          </a:extLst>
        </xdr:cNvPr>
        <xdr:cNvGrpSpPr>
          <a:grpSpLocks/>
        </xdr:cNvGrpSpPr>
      </xdr:nvGrpSpPr>
      <xdr:grpSpPr bwMode="auto">
        <a:xfrm>
          <a:off x="9562540" y="2271994"/>
          <a:ext cx="250311" cy="235744"/>
          <a:chOff x="3935" y="1056"/>
          <a:chExt cx="145" cy="144"/>
        </a:xfrm>
      </xdr:grpSpPr>
      <xdr:sp macro="" textlink="">
        <xdr:nvSpPr>
          <xdr:cNvPr id="149" name="Freeform 158">
            <a:extLst>
              <a:ext uri="{FF2B5EF4-FFF2-40B4-BE49-F238E27FC236}">
                <a16:creationId xmlns:a16="http://schemas.microsoft.com/office/drawing/2014/main" id="{2B3B3FAD-E20E-4B28-BC03-62125F4CB83A}"/>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50" name="Line 159">
            <a:extLst>
              <a:ext uri="{FF2B5EF4-FFF2-40B4-BE49-F238E27FC236}">
                <a16:creationId xmlns:a16="http://schemas.microsoft.com/office/drawing/2014/main" id="{E48CF6AC-47BF-403F-9119-D3873E45DBDE}"/>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16</xdr:col>
      <xdr:colOff>288945</xdr:colOff>
      <xdr:row>14</xdr:row>
      <xdr:rowOff>0</xdr:rowOff>
    </xdr:from>
    <xdr:to>
      <xdr:col>17</xdr:col>
      <xdr:colOff>67564</xdr:colOff>
      <xdr:row>15</xdr:row>
      <xdr:rowOff>66675</xdr:rowOff>
    </xdr:to>
    <xdr:grpSp>
      <xdr:nvGrpSpPr>
        <xdr:cNvPr id="151" name="Group 157">
          <a:extLst>
            <a:ext uri="{FF2B5EF4-FFF2-40B4-BE49-F238E27FC236}">
              <a16:creationId xmlns:a16="http://schemas.microsoft.com/office/drawing/2014/main" id="{38FAC6D5-A817-432C-AFEB-965139CC9EBA}"/>
            </a:ext>
          </a:extLst>
        </xdr:cNvPr>
        <xdr:cNvGrpSpPr>
          <a:grpSpLocks/>
        </xdr:cNvGrpSpPr>
      </xdr:nvGrpSpPr>
      <xdr:grpSpPr bwMode="auto">
        <a:xfrm>
          <a:off x="9970827" y="2846294"/>
          <a:ext cx="383737" cy="257175"/>
          <a:chOff x="3786" y="1056"/>
          <a:chExt cx="246" cy="144"/>
        </a:xfrm>
      </xdr:grpSpPr>
      <xdr:sp macro="" textlink="">
        <xdr:nvSpPr>
          <xdr:cNvPr id="152" name="Line 159">
            <a:extLst>
              <a:ext uri="{FF2B5EF4-FFF2-40B4-BE49-F238E27FC236}">
                <a16:creationId xmlns:a16="http://schemas.microsoft.com/office/drawing/2014/main" id="{D3042D55-A94A-4F8B-AE6B-0075E8D34482}"/>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sp macro="" textlink="">
        <xdr:nvSpPr>
          <xdr:cNvPr id="153" name="Freeform 158">
            <a:extLst>
              <a:ext uri="{FF2B5EF4-FFF2-40B4-BE49-F238E27FC236}">
                <a16:creationId xmlns:a16="http://schemas.microsoft.com/office/drawing/2014/main" id="{581E422C-7068-4032-B93D-F80EC430C27D}"/>
              </a:ext>
            </a:extLst>
          </xdr:cNvPr>
          <xdr:cNvSpPr>
            <a:spLocks/>
          </xdr:cNvSpPr>
        </xdr:nvSpPr>
        <xdr:spPr bwMode="auto">
          <a:xfrm>
            <a:off x="3786"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54" name="Line 159">
            <a:extLst>
              <a:ext uri="{FF2B5EF4-FFF2-40B4-BE49-F238E27FC236}">
                <a16:creationId xmlns:a16="http://schemas.microsoft.com/office/drawing/2014/main" id="{CCEDA3ED-E935-4812-A48F-779404329855}"/>
              </a:ext>
            </a:extLst>
          </xdr:cNvPr>
          <xdr:cNvSpPr>
            <a:spLocks noChangeShapeType="1"/>
          </xdr:cNvSpPr>
        </xdr:nvSpPr>
        <xdr:spPr bwMode="auto">
          <a:xfrm>
            <a:off x="3835" y="1104"/>
            <a:ext cx="48" cy="48"/>
          </a:xfrm>
          <a:prstGeom prst="line">
            <a:avLst/>
          </a:prstGeom>
          <a:noFill/>
          <a:ln w="9525">
            <a:solidFill>
              <a:srgbClr val="000000"/>
            </a:solidFill>
            <a:round/>
            <a:headEnd/>
            <a:tailEnd/>
          </a:ln>
        </xdr:spPr>
      </xdr:sp>
    </xdr:grpSp>
    <xdr:clientData/>
  </xdr:twoCellAnchor>
  <xdr:twoCellAnchor>
    <xdr:from>
      <xdr:col>16</xdr:col>
      <xdr:colOff>9525</xdr:colOff>
      <xdr:row>14</xdr:row>
      <xdr:rowOff>133349</xdr:rowOff>
    </xdr:from>
    <xdr:to>
      <xdr:col>16</xdr:col>
      <xdr:colOff>285751</xdr:colOff>
      <xdr:row>14</xdr:row>
      <xdr:rowOff>142875</xdr:rowOff>
    </xdr:to>
    <xdr:sp macro="" textlink="">
      <xdr:nvSpPr>
        <xdr:cNvPr id="155" name="Line 32">
          <a:extLst>
            <a:ext uri="{FF2B5EF4-FFF2-40B4-BE49-F238E27FC236}">
              <a16:creationId xmlns:a16="http://schemas.microsoft.com/office/drawing/2014/main" id="{7FB35BA4-8F3C-4CBF-9051-F0625E75F8AA}"/>
            </a:ext>
          </a:extLst>
        </xdr:cNvPr>
        <xdr:cNvSpPr>
          <a:spLocks noChangeShapeType="1"/>
        </xdr:cNvSpPr>
      </xdr:nvSpPr>
      <xdr:spPr bwMode="auto">
        <a:xfrm flipV="1">
          <a:off x="9763125" y="2676524"/>
          <a:ext cx="276226" cy="9526"/>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16</xdr:col>
      <xdr:colOff>180973</xdr:colOff>
      <xdr:row>14</xdr:row>
      <xdr:rowOff>133348</xdr:rowOff>
    </xdr:from>
    <xdr:to>
      <xdr:col>16</xdr:col>
      <xdr:colOff>190499</xdr:colOff>
      <xdr:row>19</xdr:row>
      <xdr:rowOff>7937</xdr:rowOff>
    </xdr:to>
    <xdr:sp macro="" textlink="">
      <xdr:nvSpPr>
        <xdr:cNvPr id="156" name="Line 201">
          <a:extLst>
            <a:ext uri="{FF2B5EF4-FFF2-40B4-BE49-F238E27FC236}">
              <a16:creationId xmlns:a16="http://schemas.microsoft.com/office/drawing/2014/main" id="{BFAC774D-EDCC-42C1-BF57-112AE56D2DAE}"/>
            </a:ext>
          </a:extLst>
        </xdr:cNvPr>
        <xdr:cNvSpPr>
          <a:spLocks noChangeShapeType="1"/>
        </xdr:cNvSpPr>
      </xdr:nvSpPr>
      <xdr:spPr bwMode="auto">
        <a:xfrm flipH="1" flipV="1">
          <a:off x="9934573" y="2676523"/>
          <a:ext cx="9526" cy="684214"/>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9</xdr:col>
      <xdr:colOff>561975</xdr:colOff>
      <xdr:row>12</xdr:row>
      <xdr:rowOff>76200</xdr:rowOff>
    </xdr:from>
    <xdr:to>
      <xdr:col>10</xdr:col>
      <xdr:colOff>7938</xdr:colOff>
      <xdr:row>12</xdr:row>
      <xdr:rowOff>182562</xdr:rowOff>
    </xdr:to>
    <xdr:sp macro="" textlink="">
      <xdr:nvSpPr>
        <xdr:cNvPr id="157" name="Freeform 26">
          <a:extLst>
            <a:ext uri="{FF2B5EF4-FFF2-40B4-BE49-F238E27FC236}">
              <a16:creationId xmlns:a16="http://schemas.microsoft.com/office/drawing/2014/main" id="{C887532A-A122-4F05-A9B0-67E2D354E5C4}"/>
            </a:ext>
          </a:extLst>
        </xdr:cNvPr>
        <xdr:cNvSpPr>
          <a:spLocks/>
        </xdr:cNvSpPr>
      </xdr:nvSpPr>
      <xdr:spPr bwMode="auto">
        <a:xfrm>
          <a:off x="6048375" y="2133600"/>
          <a:ext cx="55563" cy="106362"/>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15</xdr:col>
      <xdr:colOff>352425</xdr:colOff>
      <xdr:row>9</xdr:row>
      <xdr:rowOff>38100</xdr:rowOff>
    </xdr:from>
    <xdr:to>
      <xdr:col>15</xdr:col>
      <xdr:colOff>361949</xdr:colOff>
      <xdr:row>12</xdr:row>
      <xdr:rowOff>9523</xdr:rowOff>
    </xdr:to>
    <xdr:sp macro="" textlink="">
      <xdr:nvSpPr>
        <xdr:cNvPr id="158" name="Line 201">
          <a:extLst>
            <a:ext uri="{FF2B5EF4-FFF2-40B4-BE49-F238E27FC236}">
              <a16:creationId xmlns:a16="http://schemas.microsoft.com/office/drawing/2014/main" id="{EC94CC67-7EE5-4C29-BC3E-A5BC168F62E3}"/>
            </a:ext>
          </a:extLst>
        </xdr:cNvPr>
        <xdr:cNvSpPr>
          <a:spLocks noChangeShapeType="1"/>
        </xdr:cNvSpPr>
      </xdr:nvSpPr>
      <xdr:spPr bwMode="auto">
        <a:xfrm>
          <a:off x="9496425" y="1609725"/>
          <a:ext cx="9524" cy="457198"/>
        </a:xfrm>
        <a:prstGeom prst="line">
          <a:avLst/>
        </a:prstGeom>
        <a:ln>
          <a:headEnd/>
          <a:tailEnd type="triangle" w="med" len="lg"/>
        </a:ln>
      </xdr:spPr>
      <xdr:style>
        <a:lnRef idx="2">
          <a:schemeClr val="dk1"/>
        </a:lnRef>
        <a:fillRef idx="0">
          <a:schemeClr val="dk1"/>
        </a:fillRef>
        <a:effectRef idx="1">
          <a:schemeClr val="dk1"/>
        </a:effectRef>
        <a:fontRef idx="minor">
          <a:schemeClr val="tx1"/>
        </a:fontRef>
      </xdr:style>
    </xdr:sp>
    <xdr:clientData/>
  </xdr:twoCellAnchor>
  <xdr:twoCellAnchor>
    <xdr:from>
      <xdr:col>12</xdr:col>
      <xdr:colOff>21432</xdr:colOff>
      <xdr:row>12</xdr:row>
      <xdr:rowOff>46038</xdr:rowOff>
    </xdr:from>
    <xdr:to>
      <xdr:col>12</xdr:col>
      <xdr:colOff>107157</xdr:colOff>
      <xdr:row>12</xdr:row>
      <xdr:rowOff>131763</xdr:rowOff>
    </xdr:to>
    <xdr:sp macro="" textlink="">
      <xdr:nvSpPr>
        <xdr:cNvPr id="159" name="Freeform 26">
          <a:extLst>
            <a:ext uri="{FF2B5EF4-FFF2-40B4-BE49-F238E27FC236}">
              <a16:creationId xmlns:a16="http://schemas.microsoft.com/office/drawing/2014/main" id="{234FED20-B16A-4664-BB92-106DA8F91E18}"/>
            </a:ext>
          </a:extLst>
        </xdr:cNvPr>
        <xdr:cNvSpPr>
          <a:spLocks/>
        </xdr:cNvSpPr>
      </xdr:nvSpPr>
      <xdr:spPr bwMode="auto">
        <a:xfrm>
          <a:off x="7336632" y="2103438"/>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2</xdr:col>
      <xdr:colOff>95251</xdr:colOff>
      <xdr:row>23</xdr:row>
      <xdr:rowOff>83343</xdr:rowOff>
    </xdr:from>
    <xdr:to>
      <xdr:col>3</xdr:col>
      <xdr:colOff>247651</xdr:colOff>
      <xdr:row>24</xdr:row>
      <xdr:rowOff>104775</xdr:rowOff>
    </xdr:to>
    <xdr:sp macro="" textlink="">
      <xdr:nvSpPr>
        <xdr:cNvPr id="160" name="AutoShape 1512">
          <a:extLst>
            <a:ext uri="{FF2B5EF4-FFF2-40B4-BE49-F238E27FC236}">
              <a16:creationId xmlns:a16="http://schemas.microsoft.com/office/drawing/2014/main" id="{E141D756-51E1-4DE8-8707-4AFBB2F580EA}"/>
            </a:ext>
          </a:extLst>
        </xdr:cNvPr>
        <xdr:cNvSpPr>
          <a:spLocks noChangeArrowheads="1"/>
        </xdr:cNvSpPr>
      </xdr:nvSpPr>
      <xdr:spPr bwMode="auto">
        <a:xfrm>
          <a:off x="1314451" y="4245768"/>
          <a:ext cx="762000" cy="183357"/>
        </a:xfrm>
        <a:custGeom>
          <a:avLst/>
          <a:gdLst>
            <a:gd name="T0" fmla="*/ 2147483647 w 21600"/>
            <a:gd name="T1" fmla="*/ 2147483647 h 21600"/>
            <a:gd name="T2" fmla="*/ 2147483647 w 21600"/>
            <a:gd name="T3" fmla="*/ 2147483647 h 21600"/>
            <a:gd name="T4" fmla="*/ 2147483647 w 21600"/>
            <a:gd name="T5" fmla="*/ 2147483647 h 21600"/>
            <a:gd name="T6" fmla="*/ 2147483647 w 21600"/>
            <a:gd name="T7" fmla="*/ 0 h 21600"/>
            <a:gd name="T8" fmla="*/ 0 60000 65536"/>
            <a:gd name="T9" fmla="*/ 0 60000 65536"/>
            <a:gd name="T10" fmla="*/ 0 60000 65536"/>
            <a:gd name="T11" fmla="*/ 0 60000 65536"/>
            <a:gd name="T12" fmla="*/ 4500 w 21600"/>
            <a:gd name="T13" fmla="*/ 4500 h 21600"/>
            <a:gd name="T14" fmla="*/ 17100 w 21600"/>
            <a:gd name="T15" fmla="*/ 17100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close/>
            </a:path>
          </a:pathLst>
        </a:custGeom>
        <a:solidFill>
          <a:srgbClr val="9999FF"/>
        </a:solidFill>
        <a:ln w="9525">
          <a:solidFill>
            <a:schemeClr val="tx1"/>
          </a:solidFill>
          <a:miter lim="800000"/>
          <a:headEnd/>
          <a:tailEnd/>
        </a:ln>
      </xdr:spPr>
      <xdr:txBody>
        <a:bodyPr rot="10800000" vert="eaVert" wrap="square" anchor="ctr"/>
        <a:lstStyle>
          <a:defPPr>
            <a:defRPr lang="en-US"/>
          </a:defPPr>
          <a:lvl1pPr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1pPr>
          <a:lvl2pPr marL="4572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2pPr>
          <a:lvl3pPr marL="9144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3pPr>
          <a:lvl4pPr marL="13716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4pPr>
          <a:lvl5pPr marL="18288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5pPr>
          <a:lvl6pPr marL="2286000" algn="l" defTabSz="457200" rtl="0" eaLnBrk="1" latinLnBrk="0" hangingPunct="1">
            <a:defRPr sz="2400" kern="1200">
              <a:solidFill>
                <a:srgbClr val="CCCCCC"/>
              </a:solidFill>
              <a:latin typeface="Verdana" pitchFamily="-111" charset="0"/>
              <a:ea typeface="Arial" pitchFamily="-111" charset="-52"/>
              <a:cs typeface="Arial" pitchFamily="-111" charset="-52"/>
            </a:defRPr>
          </a:lvl6pPr>
          <a:lvl7pPr marL="2743200" algn="l" defTabSz="457200" rtl="0" eaLnBrk="1" latinLnBrk="0" hangingPunct="1">
            <a:defRPr sz="2400" kern="1200">
              <a:solidFill>
                <a:srgbClr val="CCCCCC"/>
              </a:solidFill>
              <a:latin typeface="Verdana" pitchFamily="-111" charset="0"/>
              <a:ea typeface="Arial" pitchFamily="-111" charset="-52"/>
              <a:cs typeface="Arial" pitchFamily="-111" charset="-52"/>
            </a:defRPr>
          </a:lvl7pPr>
          <a:lvl8pPr marL="3200400" algn="l" defTabSz="457200" rtl="0" eaLnBrk="1" latinLnBrk="0" hangingPunct="1">
            <a:defRPr sz="2400" kern="1200">
              <a:solidFill>
                <a:srgbClr val="CCCCCC"/>
              </a:solidFill>
              <a:latin typeface="Verdana" pitchFamily="-111" charset="0"/>
              <a:ea typeface="Arial" pitchFamily="-111" charset="-52"/>
              <a:cs typeface="Arial" pitchFamily="-111" charset="-52"/>
            </a:defRPr>
          </a:lvl8pPr>
          <a:lvl9pPr marL="3657600" algn="l" defTabSz="457200" rtl="0" eaLnBrk="1" latinLnBrk="0" hangingPunct="1">
            <a:defRPr sz="2400" kern="1200">
              <a:solidFill>
                <a:srgbClr val="CCCCCC"/>
              </a:solidFill>
              <a:latin typeface="Verdana" pitchFamily="-111" charset="0"/>
              <a:ea typeface="Arial" pitchFamily="-111" charset="-52"/>
              <a:cs typeface="Arial" pitchFamily="-111" charset="-52"/>
            </a:defRPr>
          </a:lvl9pPr>
        </a:lstStyle>
        <a:p>
          <a:endParaRPr lang="en-US">
            <a:solidFill>
              <a:schemeClr val="tx1"/>
            </a:solidFill>
          </a:endParaRPr>
        </a:p>
      </xdr:txBody>
    </xdr:sp>
    <xdr:clientData/>
  </xdr:twoCellAnchor>
  <xdr:twoCellAnchor>
    <xdr:from>
      <xdr:col>7</xdr:col>
      <xdr:colOff>557213</xdr:colOff>
      <xdr:row>36</xdr:row>
      <xdr:rowOff>152400</xdr:rowOff>
    </xdr:from>
    <xdr:to>
      <xdr:col>9</xdr:col>
      <xdr:colOff>102393</xdr:colOff>
      <xdr:row>38</xdr:row>
      <xdr:rowOff>7144</xdr:rowOff>
    </xdr:to>
    <xdr:sp macro="" textlink="">
      <xdr:nvSpPr>
        <xdr:cNvPr id="161" name="AutoShape 1512">
          <a:extLst>
            <a:ext uri="{FF2B5EF4-FFF2-40B4-BE49-F238E27FC236}">
              <a16:creationId xmlns:a16="http://schemas.microsoft.com/office/drawing/2014/main" id="{0153D7FA-56F9-4D76-AA7D-465ADAB3D855}"/>
            </a:ext>
          </a:extLst>
        </xdr:cNvPr>
        <xdr:cNvSpPr>
          <a:spLocks noChangeArrowheads="1"/>
        </xdr:cNvSpPr>
      </xdr:nvSpPr>
      <xdr:spPr bwMode="auto">
        <a:xfrm>
          <a:off x="4824413" y="6905625"/>
          <a:ext cx="764380" cy="178594"/>
        </a:xfrm>
        <a:custGeom>
          <a:avLst/>
          <a:gdLst>
            <a:gd name="T0" fmla="*/ 2147483647 w 21600"/>
            <a:gd name="T1" fmla="*/ 2147483647 h 21600"/>
            <a:gd name="T2" fmla="*/ 2147483647 w 21600"/>
            <a:gd name="T3" fmla="*/ 2147483647 h 21600"/>
            <a:gd name="T4" fmla="*/ 2147483647 w 21600"/>
            <a:gd name="T5" fmla="*/ 2147483647 h 21600"/>
            <a:gd name="T6" fmla="*/ 2147483647 w 21600"/>
            <a:gd name="T7" fmla="*/ 0 h 21600"/>
            <a:gd name="T8" fmla="*/ 0 60000 65536"/>
            <a:gd name="T9" fmla="*/ 0 60000 65536"/>
            <a:gd name="T10" fmla="*/ 0 60000 65536"/>
            <a:gd name="T11" fmla="*/ 0 60000 65536"/>
            <a:gd name="T12" fmla="*/ 4500 w 21600"/>
            <a:gd name="T13" fmla="*/ 4500 h 21600"/>
            <a:gd name="T14" fmla="*/ 17100 w 21600"/>
            <a:gd name="T15" fmla="*/ 17100 h 21600"/>
          </a:gdLst>
          <a:ahLst/>
          <a:cxnLst>
            <a:cxn ang="T8">
              <a:pos x="T0" y="T1"/>
            </a:cxn>
            <a:cxn ang="T9">
              <a:pos x="T2" y="T3"/>
            </a:cxn>
            <a:cxn ang="T10">
              <a:pos x="T4" y="T5"/>
            </a:cxn>
            <a:cxn ang="T11">
              <a:pos x="T6" y="T7"/>
            </a:cxn>
          </a:cxnLst>
          <a:rect l="T12" t="T13" r="T14" b="T15"/>
          <a:pathLst>
            <a:path w="21600" h="21600">
              <a:moveTo>
                <a:pt x="0" y="0"/>
              </a:moveTo>
              <a:lnTo>
                <a:pt x="5400" y="21600"/>
              </a:lnTo>
              <a:lnTo>
                <a:pt x="16200" y="21600"/>
              </a:lnTo>
              <a:lnTo>
                <a:pt x="21600" y="0"/>
              </a:lnTo>
              <a:close/>
            </a:path>
          </a:pathLst>
        </a:custGeom>
        <a:solidFill>
          <a:srgbClr val="9999FF"/>
        </a:solidFill>
        <a:ln w="9525">
          <a:solidFill>
            <a:schemeClr val="tx1"/>
          </a:solidFill>
          <a:miter lim="800000"/>
          <a:headEnd/>
          <a:tailEnd/>
        </a:ln>
      </xdr:spPr>
      <xdr:txBody>
        <a:bodyPr rot="10800000" vert="eaVert" wrap="square" anchor="ctr"/>
        <a:lstStyle>
          <a:defPPr>
            <a:defRPr lang="en-US"/>
          </a:defPPr>
          <a:lvl1pPr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1pPr>
          <a:lvl2pPr marL="4572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2pPr>
          <a:lvl3pPr marL="9144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3pPr>
          <a:lvl4pPr marL="13716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4pPr>
          <a:lvl5pPr marL="1828800" algn="ctr" rtl="0" eaLnBrk="0" fontAlgn="base" hangingPunct="0">
            <a:spcBef>
              <a:spcPct val="50000"/>
            </a:spcBef>
            <a:spcAft>
              <a:spcPct val="0"/>
            </a:spcAft>
            <a:defRPr sz="2400" kern="1200">
              <a:solidFill>
                <a:srgbClr val="CCCCCC"/>
              </a:solidFill>
              <a:latin typeface="Verdana" pitchFamily="-111" charset="0"/>
              <a:ea typeface="Arial" pitchFamily="-111" charset="-52"/>
              <a:cs typeface="Arial" pitchFamily="-111" charset="-52"/>
            </a:defRPr>
          </a:lvl5pPr>
          <a:lvl6pPr marL="2286000" algn="l" defTabSz="457200" rtl="0" eaLnBrk="1" latinLnBrk="0" hangingPunct="1">
            <a:defRPr sz="2400" kern="1200">
              <a:solidFill>
                <a:srgbClr val="CCCCCC"/>
              </a:solidFill>
              <a:latin typeface="Verdana" pitchFamily="-111" charset="0"/>
              <a:ea typeface="Arial" pitchFamily="-111" charset="-52"/>
              <a:cs typeface="Arial" pitchFamily="-111" charset="-52"/>
            </a:defRPr>
          </a:lvl6pPr>
          <a:lvl7pPr marL="2743200" algn="l" defTabSz="457200" rtl="0" eaLnBrk="1" latinLnBrk="0" hangingPunct="1">
            <a:defRPr sz="2400" kern="1200">
              <a:solidFill>
                <a:srgbClr val="CCCCCC"/>
              </a:solidFill>
              <a:latin typeface="Verdana" pitchFamily="-111" charset="0"/>
              <a:ea typeface="Arial" pitchFamily="-111" charset="-52"/>
              <a:cs typeface="Arial" pitchFamily="-111" charset="-52"/>
            </a:defRPr>
          </a:lvl7pPr>
          <a:lvl8pPr marL="3200400" algn="l" defTabSz="457200" rtl="0" eaLnBrk="1" latinLnBrk="0" hangingPunct="1">
            <a:defRPr sz="2400" kern="1200">
              <a:solidFill>
                <a:srgbClr val="CCCCCC"/>
              </a:solidFill>
              <a:latin typeface="Verdana" pitchFamily="-111" charset="0"/>
              <a:ea typeface="Arial" pitchFamily="-111" charset="-52"/>
              <a:cs typeface="Arial" pitchFamily="-111" charset="-52"/>
            </a:defRPr>
          </a:lvl8pPr>
          <a:lvl9pPr marL="3657600" algn="l" defTabSz="457200" rtl="0" eaLnBrk="1" latinLnBrk="0" hangingPunct="1">
            <a:defRPr sz="2400" kern="1200">
              <a:solidFill>
                <a:srgbClr val="CCCCCC"/>
              </a:solidFill>
              <a:latin typeface="Verdana" pitchFamily="-111" charset="0"/>
              <a:ea typeface="Arial" pitchFamily="-111" charset="-52"/>
              <a:cs typeface="Arial" pitchFamily="-111" charset="-52"/>
            </a:defRPr>
          </a:lvl9pPr>
        </a:lstStyle>
        <a:p>
          <a:endParaRPr lang="en-US">
            <a:solidFill>
              <a:schemeClr val="tx1"/>
            </a:solidFill>
          </a:endParaRPr>
        </a:p>
      </xdr:txBody>
    </xdr:sp>
    <xdr:clientData/>
  </xdr:twoCellAnchor>
  <xdr:twoCellAnchor>
    <xdr:from>
      <xdr:col>9</xdr:col>
      <xdr:colOff>238125</xdr:colOff>
      <xdr:row>36</xdr:row>
      <xdr:rowOff>166683</xdr:rowOff>
    </xdr:from>
    <xdr:to>
      <xdr:col>17</xdr:col>
      <xdr:colOff>1023937</xdr:colOff>
      <xdr:row>41</xdr:row>
      <xdr:rowOff>119063</xdr:rowOff>
    </xdr:to>
    <xdr:sp macro="" textlink="">
      <xdr:nvSpPr>
        <xdr:cNvPr id="162" name="Rectangle 119">
          <a:extLst>
            <a:ext uri="{FF2B5EF4-FFF2-40B4-BE49-F238E27FC236}">
              <a16:creationId xmlns:a16="http://schemas.microsoft.com/office/drawing/2014/main" id="{9C79BFFC-9D4B-4531-B6C8-59F6008980E0}"/>
            </a:ext>
          </a:extLst>
        </xdr:cNvPr>
        <xdr:cNvSpPr>
          <a:spLocks noChangeArrowheads="1"/>
        </xdr:cNvSpPr>
      </xdr:nvSpPr>
      <xdr:spPr bwMode="auto">
        <a:xfrm>
          <a:off x="5724525" y="6919908"/>
          <a:ext cx="5662612" cy="762005"/>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a:cs typeface="Arial"/>
            </a:rPr>
            <a:t>WDM</a:t>
          </a:r>
          <a:r>
            <a:rPr lang="en-US" sz="1000" b="0" i="0" strike="noStrike" baseline="0">
              <a:solidFill>
                <a:srgbClr val="000000"/>
              </a:solidFill>
              <a:latin typeface="Arial"/>
              <a:cs typeface="Arial"/>
            </a:rPr>
            <a:t> </a:t>
          </a:r>
          <a:r>
            <a:rPr lang="en-US" sz="1000" b="0" i="0" strike="noStrike">
              <a:solidFill>
                <a:srgbClr val="000000"/>
              </a:solidFill>
              <a:latin typeface="Arial"/>
              <a:cs typeface="Arial"/>
            </a:rPr>
            <a:t>diplexer - combines a ITU-T G.984.5 G-PON and a G.987.2 compliant NG-PON signal into common fiber for</a:t>
          </a:r>
          <a:r>
            <a:rPr lang="en-US" sz="1000" b="0" i="0" strike="noStrike" baseline="0">
              <a:solidFill>
                <a:srgbClr val="000000"/>
              </a:solidFill>
              <a:latin typeface="Arial"/>
              <a:cs typeface="Arial"/>
            </a:rPr>
            <a:t> upgrades to new equipment over decades of use without rework at splitter cabinet, next Gen PON ONT must be placed for this or any new PON replacement in future. Loss includes  a SC connector on both ends for maximum flexibility in placement in office. AT&amp;T has not pre-deployed in offices as of 2013.  XG-PON uses 1575-1580 nm OLT Tx width, 1260-1280  nm from ONT's.</a:t>
          </a:r>
        </a:p>
        <a:p>
          <a:pPr algn="l" rtl="0">
            <a:defRPr sz="1000"/>
          </a:pPr>
          <a:endParaRPr lang="en-US" sz="1000" b="0" i="0" strike="noStrike" baseline="0">
            <a:solidFill>
              <a:srgbClr val="000000"/>
            </a:solidFill>
            <a:latin typeface="Arial"/>
            <a:cs typeface="Arial"/>
          </a:endParaRPr>
        </a:p>
        <a:p>
          <a:pPr algn="l" rtl="0">
            <a:defRPr sz="1000"/>
          </a:pPr>
          <a:endParaRPr lang="en-US" sz="1000" b="0" i="0" strike="noStrike" baseline="0">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3</xdr:col>
      <xdr:colOff>95249</xdr:colOff>
      <xdr:row>20</xdr:row>
      <xdr:rowOff>119044</xdr:rowOff>
    </xdr:from>
    <xdr:to>
      <xdr:col>3</xdr:col>
      <xdr:colOff>352418</xdr:colOff>
      <xdr:row>23</xdr:row>
      <xdr:rowOff>83344</xdr:rowOff>
    </xdr:to>
    <xdr:sp macro="" textlink="">
      <xdr:nvSpPr>
        <xdr:cNvPr id="163" name="Line 59">
          <a:extLst>
            <a:ext uri="{FF2B5EF4-FFF2-40B4-BE49-F238E27FC236}">
              <a16:creationId xmlns:a16="http://schemas.microsoft.com/office/drawing/2014/main" id="{F2AE9C80-4E43-42AE-A0E6-9FD9DC28300E}"/>
            </a:ext>
          </a:extLst>
        </xdr:cNvPr>
        <xdr:cNvSpPr>
          <a:spLocks noChangeShapeType="1"/>
        </xdr:cNvSpPr>
      </xdr:nvSpPr>
      <xdr:spPr bwMode="auto">
        <a:xfrm flipH="1">
          <a:off x="1924049" y="3633769"/>
          <a:ext cx="257169" cy="612000"/>
        </a:xfrm>
        <a:prstGeom prst="line">
          <a:avLst/>
        </a:prstGeom>
        <a:noFill/>
        <a:ln w="9525">
          <a:solidFill>
            <a:srgbClr val="000000"/>
          </a:solidFill>
          <a:round/>
          <a:headEnd/>
          <a:tailEnd/>
        </a:ln>
      </xdr:spPr>
    </xdr:sp>
    <xdr:clientData/>
  </xdr:twoCellAnchor>
  <xdr:twoCellAnchor>
    <xdr:from>
      <xdr:col>3</xdr:col>
      <xdr:colOff>250022</xdr:colOff>
      <xdr:row>19</xdr:row>
      <xdr:rowOff>35697</xdr:rowOff>
    </xdr:from>
    <xdr:to>
      <xdr:col>3</xdr:col>
      <xdr:colOff>478622</xdr:colOff>
      <xdr:row>20</xdr:row>
      <xdr:rowOff>102373</xdr:rowOff>
    </xdr:to>
    <xdr:sp macro="" textlink="">
      <xdr:nvSpPr>
        <xdr:cNvPr id="164" name="Freeform 54">
          <a:extLst>
            <a:ext uri="{FF2B5EF4-FFF2-40B4-BE49-F238E27FC236}">
              <a16:creationId xmlns:a16="http://schemas.microsoft.com/office/drawing/2014/main" id="{1BE7B320-C5C6-4FCA-B1F1-E17F97BFD52B}"/>
            </a:ext>
          </a:extLst>
        </xdr:cNvPr>
        <xdr:cNvSpPr>
          <a:spLocks/>
        </xdr:cNvSpPr>
      </xdr:nvSpPr>
      <xdr:spPr bwMode="auto">
        <a:xfrm>
          <a:off x="2078822" y="3388497"/>
          <a:ext cx="228600" cy="228601"/>
        </a:xfrm>
        <a:custGeom>
          <a:avLst/>
          <a:gdLst>
            <a:gd name="T0" fmla="*/ 2147483647 w 226"/>
            <a:gd name="T1" fmla="*/ 0 h 226"/>
            <a:gd name="T2" fmla="*/ 2147483647 w 226"/>
            <a:gd name="T3" fmla="*/ 2147483647 h 226"/>
            <a:gd name="T4" fmla="*/ 0 w 226"/>
            <a:gd name="T5" fmla="*/ 2147483647 h 226"/>
            <a:gd name="T6" fmla="*/ 0 w 226"/>
            <a:gd name="T7" fmla="*/ 2147483647 h 226"/>
            <a:gd name="T8" fmla="*/ 2147483647 w 226"/>
            <a:gd name="T9" fmla="*/ 2147483647 h 226"/>
            <a:gd name="T10" fmla="*/ 2147483647 w 226"/>
            <a:gd name="T11" fmla="*/ 2147483647 h 226"/>
            <a:gd name="T12" fmla="*/ 2147483647 w 226"/>
            <a:gd name="T13" fmla="*/ 2147483647 h 226"/>
            <a:gd name="T14" fmla="*/ 2147483647 w 226"/>
            <a:gd name="T15" fmla="*/ 2147483647 h 226"/>
            <a:gd name="T16" fmla="*/ 2147483647 w 226"/>
            <a:gd name="T17" fmla="*/ 2147483647 h 226"/>
            <a:gd name="T18" fmla="*/ 2147483647 w 226"/>
            <a:gd name="T19" fmla="*/ 2147483647 h 226"/>
            <a:gd name="T20" fmla="*/ 2147483647 w 226"/>
            <a:gd name="T21" fmla="*/ 2147483647 h 226"/>
            <a:gd name="T22" fmla="*/ 2147483647 w 226"/>
            <a:gd name="T23" fmla="*/ 0 h 226"/>
            <a:gd name="T24" fmla="*/ 2147483647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3333CC"/>
        </a:solidFill>
        <a:ln w="9525">
          <a:solidFill>
            <a:srgbClr val="000000"/>
          </a:solidFill>
          <a:round/>
          <a:headEnd/>
          <a:tailEnd/>
        </a:ln>
      </xdr:spPr>
    </xdr:sp>
    <xdr:clientData/>
  </xdr:twoCellAnchor>
  <xdr:twoCellAnchor>
    <xdr:from>
      <xdr:col>13</xdr:col>
      <xdr:colOff>292900</xdr:colOff>
      <xdr:row>11</xdr:row>
      <xdr:rowOff>140495</xdr:rowOff>
    </xdr:from>
    <xdr:to>
      <xdr:col>13</xdr:col>
      <xdr:colOff>545313</xdr:colOff>
      <xdr:row>12</xdr:row>
      <xdr:rowOff>185739</xdr:rowOff>
    </xdr:to>
    <xdr:grpSp>
      <xdr:nvGrpSpPr>
        <xdr:cNvPr id="165" name="Group 157">
          <a:extLst>
            <a:ext uri="{FF2B5EF4-FFF2-40B4-BE49-F238E27FC236}">
              <a16:creationId xmlns:a16="http://schemas.microsoft.com/office/drawing/2014/main" id="{05DCF8E5-B4D2-4CC5-9A7F-4E503854AE4A}"/>
            </a:ext>
          </a:extLst>
        </xdr:cNvPr>
        <xdr:cNvGrpSpPr>
          <a:grpSpLocks/>
        </xdr:cNvGrpSpPr>
      </xdr:nvGrpSpPr>
      <xdr:grpSpPr bwMode="auto">
        <a:xfrm>
          <a:off x="8159429" y="2269613"/>
          <a:ext cx="252413" cy="235744"/>
          <a:chOff x="3935" y="1056"/>
          <a:chExt cx="145" cy="144"/>
        </a:xfrm>
      </xdr:grpSpPr>
      <xdr:sp macro="" textlink="">
        <xdr:nvSpPr>
          <xdr:cNvPr id="166" name="Freeform 158">
            <a:extLst>
              <a:ext uri="{FF2B5EF4-FFF2-40B4-BE49-F238E27FC236}">
                <a16:creationId xmlns:a16="http://schemas.microsoft.com/office/drawing/2014/main" id="{ACBF52CA-93B0-4E15-B4DF-8B17F03BF8EE}"/>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67" name="Line 159">
            <a:extLst>
              <a:ext uri="{FF2B5EF4-FFF2-40B4-BE49-F238E27FC236}">
                <a16:creationId xmlns:a16="http://schemas.microsoft.com/office/drawing/2014/main" id="{06179B54-D080-468E-B725-2530F0420395}"/>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14</xdr:col>
      <xdr:colOff>361949</xdr:colOff>
      <xdr:row>11</xdr:row>
      <xdr:rowOff>138113</xdr:rowOff>
    </xdr:from>
    <xdr:to>
      <xdr:col>15</xdr:col>
      <xdr:colOff>7144</xdr:colOff>
      <xdr:row>13</xdr:row>
      <xdr:rowOff>2382</xdr:rowOff>
    </xdr:to>
    <xdr:grpSp>
      <xdr:nvGrpSpPr>
        <xdr:cNvPr id="168" name="Group 157">
          <a:extLst>
            <a:ext uri="{FF2B5EF4-FFF2-40B4-BE49-F238E27FC236}">
              <a16:creationId xmlns:a16="http://schemas.microsoft.com/office/drawing/2014/main" id="{C3DAD89F-51C6-4116-94D7-1E795607D020}"/>
            </a:ext>
          </a:extLst>
        </xdr:cNvPr>
        <xdr:cNvGrpSpPr>
          <a:grpSpLocks/>
        </xdr:cNvGrpSpPr>
      </xdr:nvGrpSpPr>
      <xdr:grpSpPr bwMode="auto">
        <a:xfrm>
          <a:off x="8833596" y="2267231"/>
          <a:ext cx="250313" cy="390945"/>
          <a:chOff x="3935" y="1056"/>
          <a:chExt cx="145" cy="144"/>
        </a:xfrm>
      </xdr:grpSpPr>
      <xdr:sp macro="" textlink="">
        <xdr:nvSpPr>
          <xdr:cNvPr id="169" name="Freeform 158">
            <a:extLst>
              <a:ext uri="{FF2B5EF4-FFF2-40B4-BE49-F238E27FC236}">
                <a16:creationId xmlns:a16="http://schemas.microsoft.com/office/drawing/2014/main" id="{A641C517-B5E0-4EF3-A682-6AE45422765C}"/>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0" name="Line 159">
            <a:extLst>
              <a:ext uri="{FF2B5EF4-FFF2-40B4-BE49-F238E27FC236}">
                <a16:creationId xmlns:a16="http://schemas.microsoft.com/office/drawing/2014/main" id="{170B1125-7CB1-44F6-A933-AA2F8D6328E2}"/>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10</xdr:col>
      <xdr:colOff>30957</xdr:colOff>
      <xdr:row>11</xdr:row>
      <xdr:rowOff>140495</xdr:rowOff>
    </xdr:from>
    <xdr:to>
      <xdr:col>10</xdr:col>
      <xdr:colOff>283370</xdr:colOff>
      <xdr:row>12</xdr:row>
      <xdr:rowOff>185739</xdr:rowOff>
    </xdr:to>
    <xdr:grpSp>
      <xdr:nvGrpSpPr>
        <xdr:cNvPr id="171" name="Group 157">
          <a:extLst>
            <a:ext uri="{FF2B5EF4-FFF2-40B4-BE49-F238E27FC236}">
              <a16:creationId xmlns:a16="http://schemas.microsoft.com/office/drawing/2014/main" id="{5C57748B-0B5F-434D-A4D3-56D932DD0053}"/>
            </a:ext>
          </a:extLst>
        </xdr:cNvPr>
        <xdr:cNvGrpSpPr>
          <a:grpSpLocks/>
        </xdr:cNvGrpSpPr>
      </xdr:nvGrpSpPr>
      <xdr:grpSpPr bwMode="auto">
        <a:xfrm>
          <a:off x="6082133" y="2269613"/>
          <a:ext cx="252413" cy="235744"/>
          <a:chOff x="3935" y="1056"/>
          <a:chExt cx="145" cy="144"/>
        </a:xfrm>
      </xdr:grpSpPr>
      <xdr:sp macro="" textlink="">
        <xdr:nvSpPr>
          <xdr:cNvPr id="172" name="Freeform 158">
            <a:extLst>
              <a:ext uri="{FF2B5EF4-FFF2-40B4-BE49-F238E27FC236}">
                <a16:creationId xmlns:a16="http://schemas.microsoft.com/office/drawing/2014/main" id="{884CD167-215B-497E-993B-BD3E1ECCE5F3}"/>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3" name="Line 159">
            <a:extLst>
              <a:ext uri="{FF2B5EF4-FFF2-40B4-BE49-F238E27FC236}">
                <a16:creationId xmlns:a16="http://schemas.microsoft.com/office/drawing/2014/main" id="{552F8CB4-9534-421B-A014-61BE843DC8D4}"/>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11</xdr:col>
      <xdr:colOff>159544</xdr:colOff>
      <xdr:row>11</xdr:row>
      <xdr:rowOff>138113</xdr:rowOff>
    </xdr:from>
    <xdr:to>
      <xdr:col>11</xdr:col>
      <xdr:colOff>411957</xdr:colOff>
      <xdr:row>13</xdr:row>
      <xdr:rowOff>2382</xdr:rowOff>
    </xdr:to>
    <xdr:grpSp>
      <xdr:nvGrpSpPr>
        <xdr:cNvPr id="174" name="Group 157">
          <a:extLst>
            <a:ext uri="{FF2B5EF4-FFF2-40B4-BE49-F238E27FC236}">
              <a16:creationId xmlns:a16="http://schemas.microsoft.com/office/drawing/2014/main" id="{6AA06796-FE0B-4E9D-B30F-E4D6B5E14306}"/>
            </a:ext>
          </a:extLst>
        </xdr:cNvPr>
        <xdr:cNvGrpSpPr>
          <a:grpSpLocks/>
        </xdr:cNvGrpSpPr>
      </xdr:nvGrpSpPr>
      <xdr:grpSpPr bwMode="auto">
        <a:xfrm>
          <a:off x="6815838" y="2267231"/>
          <a:ext cx="252413" cy="390945"/>
          <a:chOff x="3935" y="1056"/>
          <a:chExt cx="145" cy="144"/>
        </a:xfrm>
      </xdr:grpSpPr>
      <xdr:sp macro="" textlink="">
        <xdr:nvSpPr>
          <xdr:cNvPr id="175" name="Freeform 158">
            <a:extLst>
              <a:ext uri="{FF2B5EF4-FFF2-40B4-BE49-F238E27FC236}">
                <a16:creationId xmlns:a16="http://schemas.microsoft.com/office/drawing/2014/main" id="{1E3D682E-124A-40EF-B323-28E90D08A8DE}"/>
              </a:ext>
            </a:extLst>
          </xdr:cNvPr>
          <xdr:cNvSpPr>
            <a:spLocks/>
          </xdr:cNvSpPr>
        </xdr:nvSpPr>
        <xdr:spPr bwMode="auto">
          <a:xfrm>
            <a:off x="3935" y="1056"/>
            <a:ext cx="145" cy="144"/>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76" name="Line 159">
            <a:extLst>
              <a:ext uri="{FF2B5EF4-FFF2-40B4-BE49-F238E27FC236}">
                <a16:creationId xmlns:a16="http://schemas.microsoft.com/office/drawing/2014/main" id="{DFE7B674-1237-4BEF-A419-B62777C13968}"/>
              </a:ext>
            </a:extLst>
          </xdr:cNvPr>
          <xdr:cNvSpPr>
            <a:spLocks noChangeShapeType="1"/>
          </xdr:cNvSpPr>
        </xdr:nvSpPr>
        <xdr:spPr bwMode="auto">
          <a:xfrm>
            <a:off x="3984" y="1104"/>
            <a:ext cx="48" cy="48"/>
          </a:xfrm>
          <a:prstGeom prst="line">
            <a:avLst/>
          </a:prstGeom>
          <a:noFill/>
          <a:ln w="9525">
            <a:solidFill>
              <a:srgbClr val="000000"/>
            </a:solidFill>
            <a:round/>
            <a:headEnd/>
            <a:tailEnd/>
          </a:ln>
        </xdr:spPr>
      </xdr:sp>
    </xdr:grpSp>
    <xdr:clientData/>
  </xdr:twoCellAnchor>
  <xdr:twoCellAnchor>
    <xdr:from>
      <xdr:col>16</xdr:col>
      <xdr:colOff>11907</xdr:colOff>
      <xdr:row>12</xdr:row>
      <xdr:rowOff>273844</xdr:rowOff>
    </xdr:from>
    <xdr:to>
      <xdr:col>16</xdr:col>
      <xdr:colOff>11907</xdr:colOff>
      <xdr:row>14</xdr:row>
      <xdr:rowOff>154781</xdr:rowOff>
    </xdr:to>
    <xdr:sp macro="" textlink="">
      <xdr:nvSpPr>
        <xdr:cNvPr id="177" name="Line 32">
          <a:extLst>
            <a:ext uri="{FF2B5EF4-FFF2-40B4-BE49-F238E27FC236}">
              <a16:creationId xmlns:a16="http://schemas.microsoft.com/office/drawing/2014/main" id="{1BA8A9F8-CEF8-4E18-9286-7E2064BEB117}"/>
            </a:ext>
          </a:extLst>
        </xdr:cNvPr>
        <xdr:cNvSpPr>
          <a:spLocks noChangeShapeType="1"/>
        </xdr:cNvSpPr>
      </xdr:nvSpPr>
      <xdr:spPr bwMode="auto">
        <a:xfrm>
          <a:off x="9765507" y="2331244"/>
          <a:ext cx="0" cy="366712"/>
        </a:xfrm>
        <a:prstGeom prst="line">
          <a:avLst/>
        </a:prstGeom>
        <a:ln>
          <a:headEnd/>
          <a:tailEnd/>
        </a:ln>
      </xdr:spPr>
      <xdr:style>
        <a:lnRef idx="3">
          <a:schemeClr val="accent6"/>
        </a:lnRef>
        <a:fillRef idx="0">
          <a:schemeClr val="accent6"/>
        </a:fillRef>
        <a:effectRef idx="2">
          <a:schemeClr val="accent6"/>
        </a:effectRef>
        <a:fontRef idx="minor">
          <a:schemeClr val="tx1"/>
        </a:fontRef>
      </xdr:style>
    </xdr:sp>
    <xdr:clientData/>
  </xdr:twoCellAnchor>
  <xdr:twoCellAnchor>
    <xdr:from>
      <xdr:col>8</xdr:col>
      <xdr:colOff>95248</xdr:colOff>
      <xdr:row>42</xdr:row>
      <xdr:rowOff>35719</xdr:rowOff>
    </xdr:from>
    <xdr:to>
      <xdr:col>8</xdr:col>
      <xdr:colOff>511966</xdr:colOff>
      <xdr:row>43</xdr:row>
      <xdr:rowOff>130968</xdr:rowOff>
    </xdr:to>
    <xdr:sp macro="" textlink="">
      <xdr:nvSpPr>
        <xdr:cNvPr id="178" name="Freeform 120">
          <a:extLst>
            <a:ext uri="{FF2B5EF4-FFF2-40B4-BE49-F238E27FC236}">
              <a16:creationId xmlns:a16="http://schemas.microsoft.com/office/drawing/2014/main" id="{E018243E-D9C5-4DBE-B874-2EF38416A7BD}"/>
            </a:ext>
          </a:extLst>
        </xdr:cNvPr>
        <xdr:cNvSpPr>
          <a:spLocks/>
        </xdr:cNvSpPr>
      </xdr:nvSpPr>
      <xdr:spPr bwMode="auto">
        <a:xfrm>
          <a:off x="4972048" y="7760494"/>
          <a:ext cx="416718" cy="257174"/>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chemeClr val="accent2">
            <a:lumMod val="20000"/>
            <a:lumOff val="80000"/>
          </a:schemeClr>
        </a:solidFill>
        <a:ln w="9525">
          <a:noFill/>
          <a:round/>
          <a:headEnd/>
          <a:tailEnd/>
        </a:ln>
      </xdr:spPr>
      <xdr:txBody>
        <a:bodyPr/>
        <a:lstStyle/>
        <a:p>
          <a:r>
            <a:rPr lang="en-US" b="1">
              <a:solidFill>
                <a:schemeClr val="accent4"/>
              </a:solidFill>
            </a:rPr>
            <a:t>   </a:t>
          </a:r>
          <a:r>
            <a:rPr lang="en-US" sz="1400" b="1">
              <a:solidFill>
                <a:schemeClr val="accent4"/>
              </a:solidFill>
            </a:rPr>
            <a:t>F</a:t>
          </a:r>
          <a:endParaRPr lang="en-US" b="1">
            <a:solidFill>
              <a:schemeClr val="accent4"/>
            </a:solidFill>
          </a:endParaRPr>
        </a:p>
      </xdr:txBody>
    </xdr:sp>
    <xdr:clientData/>
  </xdr:twoCellAnchor>
  <xdr:twoCellAnchor>
    <xdr:from>
      <xdr:col>9</xdr:col>
      <xdr:colOff>142871</xdr:colOff>
      <xdr:row>42</xdr:row>
      <xdr:rowOff>35722</xdr:rowOff>
    </xdr:from>
    <xdr:to>
      <xdr:col>15</xdr:col>
      <xdr:colOff>83340</xdr:colOff>
      <xdr:row>44</xdr:row>
      <xdr:rowOff>69060</xdr:rowOff>
    </xdr:to>
    <xdr:sp macro="" textlink="">
      <xdr:nvSpPr>
        <xdr:cNvPr id="179" name="Rectangle 119">
          <a:extLst>
            <a:ext uri="{FF2B5EF4-FFF2-40B4-BE49-F238E27FC236}">
              <a16:creationId xmlns:a16="http://schemas.microsoft.com/office/drawing/2014/main" id="{02BF15D0-A000-46DF-A8C7-CAE851E077F6}"/>
            </a:ext>
          </a:extLst>
        </xdr:cNvPr>
        <xdr:cNvSpPr>
          <a:spLocks noChangeArrowheads="1"/>
        </xdr:cNvSpPr>
      </xdr:nvSpPr>
      <xdr:spPr bwMode="auto">
        <a:xfrm>
          <a:off x="5629271" y="7760497"/>
          <a:ext cx="3598069" cy="357188"/>
        </a:xfrm>
        <a:prstGeom prst="rect">
          <a:avLst/>
        </a:prstGeom>
        <a:noFill/>
        <a:ln w="9525">
          <a:noFill/>
          <a:miter lim="800000"/>
          <a:headEnd/>
          <a:tailEnd/>
        </a:ln>
        <a:effectLst/>
      </xdr:spPr>
      <xdr:txBody>
        <a:bodyPr vertOverflow="clip" wrap="square" lIns="0" tIns="0" rIns="0" bIns="0" anchor="t" upright="1"/>
        <a:lstStyle/>
        <a:p>
          <a:pPr algn="l" rtl="0">
            <a:defRPr sz="1000"/>
          </a:pPr>
          <a:r>
            <a:rPr lang="en-US" sz="1000" b="0" i="0" strike="noStrike">
              <a:solidFill>
                <a:srgbClr val="000000"/>
              </a:solidFill>
              <a:latin typeface="Arial" panose="020B0604020202020204" pitchFamily="34" charset="0"/>
              <a:cs typeface="Arial" panose="020B0604020202020204" pitchFamily="34" charset="0"/>
            </a:rPr>
            <a:t>Field</a:t>
          </a:r>
          <a:r>
            <a:rPr lang="en-US" sz="1000" b="0" i="0" strike="noStrike" baseline="0">
              <a:solidFill>
                <a:srgbClr val="000000"/>
              </a:solidFill>
              <a:latin typeface="Arial" panose="020B0604020202020204" pitchFamily="34" charset="0"/>
              <a:cs typeface="Arial" panose="020B0604020202020204" pitchFamily="34" charset="0"/>
            </a:rPr>
            <a:t> installed </a:t>
          </a:r>
          <a:r>
            <a:rPr lang="en-US" sz="1000" b="0" i="0" strike="noStrike">
              <a:solidFill>
                <a:srgbClr val="000000"/>
              </a:solidFill>
              <a:latin typeface="Arial" panose="020B0604020202020204" pitchFamily="34" charset="0"/>
              <a:cs typeface="Arial" panose="020B0604020202020204" pitchFamily="34" charset="0"/>
            </a:rPr>
            <a:t>Fiber Connection</a:t>
          </a:r>
          <a:r>
            <a:rPr lang="en-US" sz="1000" b="0" i="0" strike="noStrike" baseline="0">
              <a:solidFill>
                <a:srgbClr val="000000"/>
              </a:solidFill>
              <a:latin typeface="Arial" panose="020B0604020202020204" pitchFamily="34" charset="0"/>
              <a:cs typeface="Arial" panose="020B0604020202020204" pitchFamily="34" charset="0"/>
            </a:rPr>
            <a:t> to Premises side of Drop to avoid slack storage, </a:t>
          </a:r>
          <a:r>
            <a:rPr lang="en-US" sz="1000" b="0" i="0" strike="noStrike">
              <a:solidFill>
                <a:srgbClr val="000000"/>
              </a:solidFill>
              <a:latin typeface="Arial" panose="020B0604020202020204" pitchFamily="34" charset="0"/>
              <a:cs typeface="Arial" panose="020B0604020202020204" pitchFamily="34" charset="0"/>
            </a:rPr>
            <a:t> i.e. </a:t>
          </a:r>
          <a:r>
            <a:rPr lang="en-US" sz="1000" b="0" i="0">
              <a:effectLst/>
              <a:latin typeface="Arial" panose="020B0604020202020204" pitchFamily="34" charset="0"/>
              <a:ea typeface="+mn-ea"/>
              <a:cs typeface="Arial" panose="020B0604020202020204" pitchFamily="34" charset="0"/>
            </a:rPr>
            <a:t>Crimplok</a:t>
          </a:r>
          <a:r>
            <a:rPr lang="en-US" sz="1000" b="0" i="0" strike="noStrike">
              <a:solidFill>
                <a:srgbClr val="000000"/>
              </a:solidFill>
              <a:latin typeface="Arial" panose="020B0604020202020204" pitchFamily="34" charset="0"/>
              <a:cs typeface="Arial" panose="020B0604020202020204" pitchFamily="34" charset="0"/>
            </a:rPr>
            <a:t> 3M, or Corning </a:t>
          </a:r>
        </a:p>
        <a:p>
          <a:pPr algn="l" rtl="0">
            <a:defRPr sz="1000"/>
          </a:pPr>
          <a:endParaRPr lang="en-US" sz="1000" b="0" i="0" strike="noStrike">
            <a:solidFill>
              <a:srgbClr val="000000"/>
            </a:solidFill>
            <a:latin typeface="Arial"/>
            <a:cs typeface="Arial"/>
          </a:endParaRPr>
        </a:p>
      </xdr:txBody>
    </xdr:sp>
    <xdr:clientData/>
  </xdr:twoCellAnchor>
  <xdr:twoCellAnchor>
    <xdr:from>
      <xdr:col>9</xdr:col>
      <xdr:colOff>183358</xdr:colOff>
      <xdr:row>26</xdr:row>
      <xdr:rowOff>133362</xdr:rowOff>
    </xdr:from>
    <xdr:to>
      <xdr:col>11</xdr:col>
      <xdr:colOff>226218</xdr:colOff>
      <xdr:row>28</xdr:row>
      <xdr:rowOff>142887</xdr:rowOff>
    </xdr:to>
    <xdr:sp macro="" textlink="">
      <xdr:nvSpPr>
        <xdr:cNvPr id="180" name="Rectangle 42">
          <a:extLst>
            <a:ext uri="{FF2B5EF4-FFF2-40B4-BE49-F238E27FC236}">
              <a16:creationId xmlns:a16="http://schemas.microsoft.com/office/drawing/2014/main" id="{7178C5DF-95E1-4C75-96C7-964960D966CB}"/>
            </a:ext>
          </a:extLst>
        </xdr:cNvPr>
        <xdr:cNvSpPr>
          <a:spLocks noChangeArrowheads="1"/>
        </xdr:cNvSpPr>
      </xdr:nvSpPr>
      <xdr:spPr bwMode="auto">
        <a:xfrm>
          <a:off x="5669758" y="4943487"/>
          <a:ext cx="1262060" cy="333375"/>
        </a:xfrm>
        <a:prstGeom prst="rect">
          <a:avLst/>
        </a:prstGeom>
        <a:noFill/>
        <a:ln w="9525">
          <a:noFill/>
          <a:miter lim="800000"/>
          <a:headEnd/>
          <a:tailEnd/>
        </a:ln>
      </xdr:spPr>
      <xdr:txBody>
        <a:bodyPr vertOverflow="clip" wrap="square" lIns="0" tIns="0" rIns="0" bIns="0" anchor="t" upright="1"/>
        <a:lstStyle/>
        <a:p>
          <a:pPr algn="l" rtl="0">
            <a:defRPr sz="1000"/>
          </a:pPr>
          <a:r>
            <a:rPr lang="en-US" sz="1000" b="0" i="0" strike="noStrike">
              <a:solidFill>
                <a:srgbClr val="000000"/>
              </a:solidFill>
              <a:latin typeface="Arial"/>
              <a:cs typeface="Arial"/>
            </a:rPr>
            <a:t>MTP</a:t>
          </a:r>
          <a:r>
            <a:rPr lang="en-US" sz="1000" b="0" i="0" strike="noStrike" baseline="0">
              <a:solidFill>
                <a:srgbClr val="000000"/>
              </a:solidFill>
              <a:latin typeface="Arial"/>
              <a:cs typeface="Arial"/>
            </a:rPr>
            <a:t>-12 </a:t>
          </a:r>
          <a:r>
            <a:rPr lang="en-US" sz="1000" b="0" i="0" strike="noStrike">
              <a:solidFill>
                <a:srgbClr val="000000"/>
              </a:solidFill>
              <a:latin typeface="Arial"/>
              <a:cs typeface="Arial"/>
            </a:rPr>
            <a:t>Connector i.e. Corning OptiTip </a:t>
          </a:r>
          <a:endParaRPr lang="en-US" sz="1000" b="0" i="0" strike="noStrike">
            <a:solidFill>
              <a:srgbClr val="993300"/>
            </a:solidFill>
            <a:latin typeface="Arial"/>
            <a:cs typeface="Arial"/>
          </a:endParaRPr>
        </a:p>
        <a:p>
          <a:pPr algn="l" rtl="0">
            <a:defRPr sz="1000"/>
          </a:pPr>
          <a:endParaRPr lang="en-US" sz="1000" b="0" i="0" strike="noStrike">
            <a:solidFill>
              <a:srgbClr val="993300"/>
            </a:solidFill>
            <a:latin typeface="Arial"/>
            <a:cs typeface="Arial"/>
          </a:endParaRPr>
        </a:p>
      </xdr:txBody>
    </xdr:sp>
    <xdr:clientData/>
  </xdr:twoCellAnchor>
  <xdr:twoCellAnchor>
    <xdr:from>
      <xdr:col>14</xdr:col>
      <xdr:colOff>65089</xdr:colOff>
      <xdr:row>12</xdr:row>
      <xdr:rowOff>41285</xdr:rowOff>
    </xdr:from>
    <xdr:to>
      <xdr:col>14</xdr:col>
      <xdr:colOff>440531</xdr:colOff>
      <xdr:row>13</xdr:row>
      <xdr:rowOff>47628</xdr:rowOff>
    </xdr:to>
    <xdr:sp macro="" textlink="">
      <xdr:nvSpPr>
        <xdr:cNvPr id="181" name="Freeform 120">
          <a:extLst>
            <a:ext uri="{FF2B5EF4-FFF2-40B4-BE49-F238E27FC236}">
              <a16:creationId xmlns:a16="http://schemas.microsoft.com/office/drawing/2014/main" id="{F1E2C8CF-C468-4C3A-9923-AC1FD2796506}"/>
            </a:ext>
          </a:extLst>
        </xdr:cNvPr>
        <xdr:cNvSpPr>
          <a:spLocks/>
        </xdr:cNvSpPr>
      </xdr:nvSpPr>
      <xdr:spPr bwMode="auto">
        <a:xfrm>
          <a:off x="8599489" y="2098685"/>
          <a:ext cx="375442" cy="330193"/>
        </a:xfrm>
        <a:custGeom>
          <a:avLst/>
          <a:gdLst>
            <a:gd name="T0" fmla="*/ 2147483647 w 114"/>
            <a:gd name="T1" fmla="*/ 0 h 113"/>
            <a:gd name="T2" fmla="*/ 0 w 114"/>
            <a:gd name="T3" fmla="*/ 2147483647 h 113"/>
            <a:gd name="T4" fmla="*/ 2147483647 w 114"/>
            <a:gd name="T5" fmla="*/ 2147483647 h 113"/>
            <a:gd name="T6" fmla="*/ 2147483647 w 114"/>
            <a:gd name="T7" fmla="*/ 0 h 113"/>
            <a:gd name="T8" fmla="*/ 0 60000 65536"/>
            <a:gd name="T9" fmla="*/ 0 60000 65536"/>
            <a:gd name="T10" fmla="*/ 0 60000 65536"/>
            <a:gd name="T11" fmla="*/ 0 60000 65536"/>
            <a:gd name="T12" fmla="*/ 0 w 114"/>
            <a:gd name="T13" fmla="*/ 0 h 113"/>
            <a:gd name="T14" fmla="*/ 114 w 114"/>
            <a:gd name="T15" fmla="*/ 113 h 113"/>
          </a:gdLst>
          <a:ahLst/>
          <a:cxnLst>
            <a:cxn ang="T8">
              <a:pos x="T0" y="T1"/>
            </a:cxn>
            <a:cxn ang="T9">
              <a:pos x="T2" y="T3"/>
            </a:cxn>
            <a:cxn ang="T10">
              <a:pos x="T4" y="T5"/>
            </a:cxn>
            <a:cxn ang="T11">
              <a:pos x="T6" y="T7"/>
            </a:cxn>
          </a:cxnLst>
          <a:rect l="T12" t="T13" r="T14" b="T15"/>
          <a:pathLst>
            <a:path w="114" h="113">
              <a:moveTo>
                <a:pt x="57" y="0"/>
              </a:moveTo>
              <a:lnTo>
                <a:pt x="0" y="113"/>
              </a:lnTo>
              <a:lnTo>
                <a:pt x="114" y="113"/>
              </a:lnTo>
              <a:lnTo>
                <a:pt x="57" y="0"/>
              </a:lnTo>
              <a:close/>
            </a:path>
          </a:pathLst>
        </a:custGeom>
        <a:solidFill>
          <a:schemeClr val="accent2">
            <a:lumMod val="20000"/>
            <a:lumOff val="80000"/>
          </a:schemeClr>
        </a:solidFill>
        <a:ln w="9525">
          <a:noFill/>
          <a:round/>
          <a:headEnd/>
          <a:tailEnd/>
        </a:ln>
      </xdr:spPr>
      <xdr:txBody>
        <a:bodyPr/>
        <a:lstStyle/>
        <a:p>
          <a:r>
            <a:rPr lang="en-US" b="1">
              <a:solidFill>
                <a:schemeClr val="accent4"/>
              </a:solidFill>
            </a:rPr>
            <a:t>   </a:t>
          </a:r>
          <a:r>
            <a:rPr lang="en-US" sz="1400" b="1">
              <a:solidFill>
                <a:schemeClr val="accent4"/>
              </a:solidFill>
            </a:rPr>
            <a:t>F</a:t>
          </a:r>
          <a:endParaRPr lang="en-US" b="1">
            <a:solidFill>
              <a:schemeClr val="accent4"/>
            </a:solidFill>
          </a:endParaRPr>
        </a:p>
      </xdr:txBody>
    </xdr:sp>
    <xdr:clientData/>
  </xdr:twoCellAnchor>
  <xdr:twoCellAnchor>
    <xdr:from>
      <xdr:col>12</xdr:col>
      <xdr:colOff>535825</xdr:colOff>
      <xdr:row>9</xdr:row>
      <xdr:rowOff>138155</xdr:rowOff>
    </xdr:from>
    <xdr:to>
      <xdr:col>13</xdr:col>
      <xdr:colOff>242931</xdr:colOff>
      <xdr:row>11</xdr:row>
      <xdr:rowOff>114342</xdr:rowOff>
    </xdr:to>
    <xdr:sp macro="" textlink="">
      <xdr:nvSpPr>
        <xdr:cNvPr id="182" name="Oval 241">
          <a:extLst>
            <a:ext uri="{FF2B5EF4-FFF2-40B4-BE49-F238E27FC236}">
              <a16:creationId xmlns:a16="http://schemas.microsoft.com/office/drawing/2014/main" id="{4A9DD71E-CEAD-4986-8B0E-E6CF91269819}"/>
            </a:ext>
          </a:extLst>
        </xdr:cNvPr>
        <xdr:cNvSpPr>
          <a:spLocks noChangeArrowheads="1"/>
        </xdr:cNvSpPr>
      </xdr:nvSpPr>
      <xdr:spPr bwMode="auto">
        <a:xfrm>
          <a:off x="7851025" y="1709780"/>
          <a:ext cx="316706" cy="300037"/>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Z2</a:t>
          </a:r>
        </a:p>
      </xdr:txBody>
    </xdr:sp>
    <xdr:clientData/>
  </xdr:twoCellAnchor>
  <xdr:twoCellAnchor>
    <xdr:from>
      <xdr:col>12</xdr:col>
      <xdr:colOff>188173</xdr:colOff>
      <xdr:row>9</xdr:row>
      <xdr:rowOff>147683</xdr:rowOff>
    </xdr:from>
    <xdr:to>
      <xdr:col>12</xdr:col>
      <xdr:colOff>502498</xdr:colOff>
      <xdr:row>11</xdr:row>
      <xdr:rowOff>123870</xdr:rowOff>
    </xdr:to>
    <xdr:sp macro="" textlink="">
      <xdr:nvSpPr>
        <xdr:cNvPr id="183" name="Oval 241">
          <a:extLst>
            <a:ext uri="{FF2B5EF4-FFF2-40B4-BE49-F238E27FC236}">
              <a16:creationId xmlns:a16="http://schemas.microsoft.com/office/drawing/2014/main" id="{3408AD63-BB88-4D80-A560-C51C22DCC424}"/>
            </a:ext>
          </a:extLst>
        </xdr:cNvPr>
        <xdr:cNvSpPr>
          <a:spLocks noChangeArrowheads="1"/>
        </xdr:cNvSpPr>
      </xdr:nvSpPr>
      <xdr:spPr bwMode="auto">
        <a:xfrm>
          <a:off x="7503373" y="1719308"/>
          <a:ext cx="314325" cy="300037"/>
        </a:xfrm>
        <a:prstGeom prst="ellipse">
          <a:avLst/>
        </a:prstGeom>
        <a:solidFill>
          <a:srgbClr val="00B050"/>
        </a:solidFill>
        <a:ln w="9525">
          <a:solidFill>
            <a:srgbClr val="000000"/>
          </a:solidFill>
          <a:round/>
          <a:headEnd/>
          <a:tailEnd/>
        </a:ln>
      </xdr:spPr>
      <xdr:txBody>
        <a:bodyPr vertOverflow="clip" wrap="square" lIns="0" tIns="0" rIns="0" bIns="0" anchor="ctr" upright="1"/>
        <a:lstStyle/>
        <a:p>
          <a:pPr algn="ctr" rtl="0">
            <a:defRPr sz="1000"/>
          </a:pPr>
          <a:r>
            <a:rPr lang="en-US" sz="1200" b="1" i="0" strike="noStrike">
              <a:solidFill>
                <a:srgbClr val="000000"/>
              </a:solidFill>
              <a:latin typeface="Arial"/>
              <a:cs typeface="Arial"/>
            </a:rPr>
            <a:t>Z1</a:t>
          </a:r>
        </a:p>
      </xdr:txBody>
    </xdr:sp>
    <xdr:clientData/>
  </xdr:twoCellAnchor>
  <xdr:twoCellAnchor>
    <xdr:from>
      <xdr:col>11</xdr:col>
      <xdr:colOff>495307</xdr:colOff>
      <xdr:row>12</xdr:row>
      <xdr:rowOff>43660</xdr:rowOff>
    </xdr:from>
    <xdr:to>
      <xdr:col>11</xdr:col>
      <xdr:colOff>581032</xdr:colOff>
      <xdr:row>12</xdr:row>
      <xdr:rowOff>129385</xdr:rowOff>
    </xdr:to>
    <xdr:sp macro="" textlink="">
      <xdr:nvSpPr>
        <xdr:cNvPr id="184" name="Freeform 26">
          <a:extLst>
            <a:ext uri="{FF2B5EF4-FFF2-40B4-BE49-F238E27FC236}">
              <a16:creationId xmlns:a16="http://schemas.microsoft.com/office/drawing/2014/main" id="{658589F3-9588-48BD-8A64-F27A4C8C798E}"/>
            </a:ext>
          </a:extLst>
        </xdr:cNvPr>
        <xdr:cNvSpPr>
          <a:spLocks/>
        </xdr:cNvSpPr>
      </xdr:nvSpPr>
      <xdr:spPr bwMode="auto">
        <a:xfrm>
          <a:off x="7200907" y="2101060"/>
          <a:ext cx="85725" cy="85725"/>
        </a:xfrm>
        <a:custGeom>
          <a:avLst/>
          <a:gdLst>
            <a:gd name="T0" fmla="*/ 2147483647 w 114"/>
            <a:gd name="T1" fmla="*/ 0 h 114"/>
            <a:gd name="T2" fmla="*/ 0 w 114"/>
            <a:gd name="T3" fmla="*/ 2147483647 h 114"/>
            <a:gd name="T4" fmla="*/ 2147483647 w 114"/>
            <a:gd name="T5" fmla="*/ 2147483647 h 114"/>
            <a:gd name="T6" fmla="*/ 2147483647 w 114"/>
            <a:gd name="T7" fmla="*/ 0 h 114"/>
            <a:gd name="T8" fmla="*/ 0 60000 65536"/>
            <a:gd name="T9" fmla="*/ 0 60000 65536"/>
            <a:gd name="T10" fmla="*/ 0 60000 65536"/>
            <a:gd name="T11" fmla="*/ 0 60000 65536"/>
            <a:gd name="T12" fmla="*/ 0 w 114"/>
            <a:gd name="T13" fmla="*/ 0 h 114"/>
            <a:gd name="T14" fmla="*/ 114 w 114"/>
            <a:gd name="T15" fmla="*/ 114 h 114"/>
          </a:gdLst>
          <a:ahLst/>
          <a:cxnLst>
            <a:cxn ang="T8">
              <a:pos x="T0" y="T1"/>
            </a:cxn>
            <a:cxn ang="T9">
              <a:pos x="T2" y="T3"/>
            </a:cxn>
            <a:cxn ang="T10">
              <a:pos x="T4" y="T5"/>
            </a:cxn>
            <a:cxn ang="T11">
              <a:pos x="T6" y="T7"/>
            </a:cxn>
          </a:cxnLst>
          <a:rect l="T12" t="T13" r="T14" b="T15"/>
          <a:pathLst>
            <a:path w="114" h="114">
              <a:moveTo>
                <a:pt x="57" y="0"/>
              </a:moveTo>
              <a:lnTo>
                <a:pt x="0" y="114"/>
              </a:lnTo>
              <a:lnTo>
                <a:pt x="114" y="114"/>
              </a:lnTo>
              <a:lnTo>
                <a:pt x="57" y="0"/>
              </a:lnTo>
              <a:close/>
            </a:path>
          </a:pathLst>
        </a:custGeom>
        <a:solidFill>
          <a:srgbClr val="003300"/>
        </a:solidFill>
        <a:ln w="12700">
          <a:solidFill>
            <a:srgbClr val="000000"/>
          </a:solidFill>
          <a:round/>
          <a:headEnd/>
          <a:tailEnd/>
        </a:ln>
      </xdr:spPr>
    </xdr:sp>
    <xdr:clientData/>
  </xdr:twoCellAnchor>
  <xdr:twoCellAnchor>
    <xdr:from>
      <xdr:col>8</xdr:col>
      <xdr:colOff>119063</xdr:colOff>
      <xdr:row>26</xdr:row>
      <xdr:rowOff>126201</xdr:rowOff>
    </xdr:from>
    <xdr:to>
      <xdr:col>8</xdr:col>
      <xdr:colOff>471660</xdr:colOff>
      <xdr:row>28</xdr:row>
      <xdr:rowOff>95249</xdr:rowOff>
    </xdr:to>
    <xdr:grpSp>
      <xdr:nvGrpSpPr>
        <xdr:cNvPr id="185" name="Group 184">
          <a:extLst>
            <a:ext uri="{FF2B5EF4-FFF2-40B4-BE49-F238E27FC236}">
              <a16:creationId xmlns:a16="http://schemas.microsoft.com/office/drawing/2014/main" id="{B0FE56FB-7848-475F-9B41-ED4D11AB3623}"/>
            </a:ext>
          </a:extLst>
        </xdr:cNvPr>
        <xdr:cNvGrpSpPr/>
      </xdr:nvGrpSpPr>
      <xdr:grpSpPr>
        <a:xfrm>
          <a:off x="4960004" y="5594672"/>
          <a:ext cx="352597" cy="350048"/>
          <a:chOff x="4984140" y="4866720"/>
          <a:chExt cx="352597" cy="291433"/>
        </a:xfrm>
      </xdr:grpSpPr>
      <xdr:sp macro="" textlink="">
        <xdr:nvSpPr>
          <xdr:cNvPr id="186" name="Freeform 158">
            <a:extLst>
              <a:ext uri="{FF2B5EF4-FFF2-40B4-BE49-F238E27FC236}">
                <a16:creationId xmlns:a16="http://schemas.microsoft.com/office/drawing/2014/main" id="{4E153468-A77D-4C4A-B640-980E73FDC630}"/>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87" name="Flowchart: Connector 186">
            <a:extLst>
              <a:ext uri="{FF2B5EF4-FFF2-40B4-BE49-F238E27FC236}">
                <a16:creationId xmlns:a16="http://schemas.microsoft.com/office/drawing/2014/main" id="{01D2B6F0-D040-485D-B11E-0514CD3279DC}"/>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Flowchart: Connector 187">
            <a:extLst>
              <a:ext uri="{FF2B5EF4-FFF2-40B4-BE49-F238E27FC236}">
                <a16:creationId xmlns:a16="http://schemas.microsoft.com/office/drawing/2014/main" id="{C6096439-89A7-4B74-981F-771DEB1D0FD2}"/>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9" name="Flowchart: Connector 188">
            <a:extLst>
              <a:ext uri="{FF2B5EF4-FFF2-40B4-BE49-F238E27FC236}">
                <a16:creationId xmlns:a16="http://schemas.microsoft.com/office/drawing/2014/main" id="{241C1425-1268-4EE6-9D4D-474B4B0C0F00}"/>
              </a:ext>
            </a:extLst>
          </xdr:cNvPr>
          <xdr:cNvSpPr/>
        </xdr:nvSpPr>
        <xdr:spPr>
          <a:xfrm flipH="1">
            <a:off x="5241318" y="4994106"/>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0" name="Flowchart: Connector 189">
            <a:extLst>
              <a:ext uri="{FF2B5EF4-FFF2-40B4-BE49-F238E27FC236}">
                <a16:creationId xmlns:a16="http://schemas.microsoft.com/office/drawing/2014/main" id="{B7597162-3E30-4364-931A-53B332509E2C}"/>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533768</xdr:colOff>
      <xdr:row>11</xdr:row>
      <xdr:rowOff>137923</xdr:rowOff>
    </xdr:from>
    <xdr:to>
      <xdr:col>13</xdr:col>
      <xdr:colOff>278230</xdr:colOff>
      <xdr:row>13</xdr:row>
      <xdr:rowOff>1464</xdr:rowOff>
    </xdr:to>
    <xdr:grpSp>
      <xdr:nvGrpSpPr>
        <xdr:cNvPr id="191" name="Group 190">
          <a:extLst>
            <a:ext uri="{FF2B5EF4-FFF2-40B4-BE49-F238E27FC236}">
              <a16:creationId xmlns:a16="http://schemas.microsoft.com/office/drawing/2014/main" id="{9CB8C365-CC53-4214-9339-31AAC288DBDA}"/>
            </a:ext>
          </a:extLst>
        </xdr:cNvPr>
        <xdr:cNvGrpSpPr/>
      </xdr:nvGrpSpPr>
      <xdr:grpSpPr>
        <a:xfrm>
          <a:off x="7795180" y="2267041"/>
          <a:ext cx="349579" cy="390217"/>
          <a:chOff x="4984140" y="4866720"/>
          <a:chExt cx="352597" cy="291433"/>
        </a:xfrm>
      </xdr:grpSpPr>
      <xdr:sp macro="" textlink="">
        <xdr:nvSpPr>
          <xdr:cNvPr id="192" name="Freeform 158">
            <a:extLst>
              <a:ext uri="{FF2B5EF4-FFF2-40B4-BE49-F238E27FC236}">
                <a16:creationId xmlns:a16="http://schemas.microsoft.com/office/drawing/2014/main" id="{07121EFE-D597-460C-95F5-7AD3E2A38354}"/>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93" name="Flowchart: Connector 192">
            <a:extLst>
              <a:ext uri="{FF2B5EF4-FFF2-40B4-BE49-F238E27FC236}">
                <a16:creationId xmlns:a16="http://schemas.microsoft.com/office/drawing/2014/main" id="{ECD06F50-0F22-49F9-B0EF-798C307A58B6}"/>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4" name="Flowchart: Connector 193">
            <a:extLst>
              <a:ext uri="{FF2B5EF4-FFF2-40B4-BE49-F238E27FC236}">
                <a16:creationId xmlns:a16="http://schemas.microsoft.com/office/drawing/2014/main" id="{4A7CA261-F5EA-47C6-88F5-FEC9F7B999D8}"/>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5" name="Flowchart: Connector 194">
            <a:extLst>
              <a:ext uri="{FF2B5EF4-FFF2-40B4-BE49-F238E27FC236}">
                <a16:creationId xmlns:a16="http://schemas.microsoft.com/office/drawing/2014/main" id="{96DA041A-AE79-4742-B71F-B6D3E6BCBC02}"/>
              </a:ext>
            </a:extLst>
          </xdr:cNvPr>
          <xdr:cNvSpPr/>
        </xdr:nvSpPr>
        <xdr:spPr>
          <a:xfrm flipH="1">
            <a:off x="5241318" y="5001433"/>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6" name="Flowchart: Connector 195">
            <a:extLst>
              <a:ext uri="{FF2B5EF4-FFF2-40B4-BE49-F238E27FC236}">
                <a16:creationId xmlns:a16="http://schemas.microsoft.com/office/drawing/2014/main" id="{B9B21E0E-7764-44E8-9B58-A694FCE6D5A5}"/>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124925</xdr:colOff>
      <xdr:row>11</xdr:row>
      <xdr:rowOff>132062</xdr:rowOff>
    </xdr:from>
    <xdr:to>
      <xdr:col>12</xdr:col>
      <xdr:colOff>477522</xdr:colOff>
      <xdr:row>12</xdr:row>
      <xdr:rowOff>186103</xdr:rowOff>
    </xdr:to>
    <xdr:grpSp>
      <xdr:nvGrpSpPr>
        <xdr:cNvPr id="197" name="Group 196">
          <a:extLst>
            <a:ext uri="{FF2B5EF4-FFF2-40B4-BE49-F238E27FC236}">
              <a16:creationId xmlns:a16="http://schemas.microsoft.com/office/drawing/2014/main" id="{3BB7C2EB-6383-4738-9B18-8D261B2AD105}"/>
            </a:ext>
          </a:extLst>
        </xdr:cNvPr>
        <xdr:cNvGrpSpPr/>
      </xdr:nvGrpSpPr>
      <xdr:grpSpPr>
        <a:xfrm>
          <a:off x="7386337" y="2261180"/>
          <a:ext cx="352597" cy="244541"/>
          <a:chOff x="4984140" y="4866720"/>
          <a:chExt cx="352597" cy="291433"/>
        </a:xfrm>
      </xdr:grpSpPr>
      <xdr:sp macro="" textlink="">
        <xdr:nvSpPr>
          <xdr:cNvPr id="198" name="Freeform 158">
            <a:extLst>
              <a:ext uri="{FF2B5EF4-FFF2-40B4-BE49-F238E27FC236}">
                <a16:creationId xmlns:a16="http://schemas.microsoft.com/office/drawing/2014/main" id="{BD15D984-B6AA-4758-BE14-4A5DEBB5E0E3}"/>
              </a:ext>
            </a:extLst>
          </xdr:cNvPr>
          <xdr:cNvSpPr>
            <a:spLocks/>
          </xdr:cNvSpPr>
        </xdr:nvSpPr>
        <xdr:spPr bwMode="auto">
          <a:xfrm>
            <a:off x="4984140" y="4866720"/>
            <a:ext cx="352597" cy="291433"/>
          </a:xfrm>
          <a:custGeom>
            <a:avLst/>
            <a:gdLst>
              <a:gd name="T0" fmla="*/ 14 w 226"/>
              <a:gd name="T1" fmla="*/ 0 h 226"/>
              <a:gd name="T2" fmla="*/ 14 w 226"/>
              <a:gd name="T3" fmla="*/ 15 h 226"/>
              <a:gd name="T4" fmla="*/ 0 w 226"/>
              <a:gd name="T5" fmla="*/ 15 h 226"/>
              <a:gd name="T6" fmla="*/ 0 w 226"/>
              <a:gd name="T7" fmla="*/ 44 h 226"/>
              <a:gd name="T8" fmla="*/ 14 w 226"/>
              <a:gd name="T9" fmla="*/ 44 h 226"/>
              <a:gd name="T10" fmla="*/ 14 w 226"/>
              <a:gd name="T11" fmla="*/ 59 h 226"/>
              <a:gd name="T12" fmla="*/ 44 w 226"/>
              <a:gd name="T13" fmla="*/ 59 h 226"/>
              <a:gd name="T14" fmla="*/ 44 w 226"/>
              <a:gd name="T15" fmla="*/ 44 h 226"/>
              <a:gd name="T16" fmla="*/ 60 w 226"/>
              <a:gd name="T17" fmla="*/ 44 h 226"/>
              <a:gd name="T18" fmla="*/ 60 w 226"/>
              <a:gd name="T19" fmla="*/ 15 h 226"/>
              <a:gd name="T20" fmla="*/ 44 w 226"/>
              <a:gd name="T21" fmla="*/ 15 h 226"/>
              <a:gd name="T22" fmla="*/ 44 w 226"/>
              <a:gd name="T23" fmla="*/ 0 h 226"/>
              <a:gd name="T24" fmla="*/ 14 w 226"/>
              <a:gd name="T25" fmla="*/ 0 h 22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w 226"/>
              <a:gd name="T40" fmla="*/ 0 h 226"/>
              <a:gd name="T41" fmla="*/ 226 w 226"/>
              <a:gd name="T42" fmla="*/ 226 h 22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T39" t="T40" r="T41" b="T42"/>
            <a:pathLst>
              <a:path w="226" h="226">
                <a:moveTo>
                  <a:pt x="55" y="0"/>
                </a:moveTo>
                <a:lnTo>
                  <a:pt x="55" y="57"/>
                </a:lnTo>
                <a:lnTo>
                  <a:pt x="0" y="57"/>
                </a:lnTo>
                <a:lnTo>
                  <a:pt x="0" y="169"/>
                </a:lnTo>
                <a:lnTo>
                  <a:pt x="55" y="169"/>
                </a:lnTo>
                <a:lnTo>
                  <a:pt x="55" y="226"/>
                </a:lnTo>
                <a:lnTo>
                  <a:pt x="169" y="226"/>
                </a:lnTo>
                <a:lnTo>
                  <a:pt x="169" y="169"/>
                </a:lnTo>
                <a:lnTo>
                  <a:pt x="226" y="169"/>
                </a:lnTo>
                <a:lnTo>
                  <a:pt x="226" y="57"/>
                </a:lnTo>
                <a:lnTo>
                  <a:pt x="169" y="57"/>
                </a:lnTo>
                <a:lnTo>
                  <a:pt x="169" y="0"/>
                </a:lnTo>
                <a:lnTo>
                  <a:pt x="55" y="0"/>
                </a:lnTo>
                <a:close/>
              </a:path>
            </a:pathLst>
          </a:custGeom>
          <a:solidFill>
            <a:srgbClr val="00FF00"/>
          </a:solidFill>
          <a:ln w="9525">
            <a:solidFill>
              <a:srgbClr val="000000"/>
            </a:solidFill>
            <a:round/>
            <a:headEnd/>
            <a:tailEnd/>
          </a:ln>
        </xdr:spPr>
      </xdr:sp>
      <xdr:sp macro="" textlink="">
        <xdr:nvSpPr>
          <xdr:cNvPr id="199" name="Flowchart: Connector 198">
            <a:extLst>
              <a:ext uri="{FF2B5EF4-FFF2-40B4-BE49-F238E27FC236}">
                <a16:creationId xmlns:a16="http://schemas.microsoft.com/office/drawing/2014/main" id="{3D1BF525-841C-4472-80DA-D599679A56FC}"/>
              </a:ext>
            </a:extLst>
          </xdr:cNvPr>
          <xdr:cNvSpPr/>
        </xdr:nvSpPr>
        <xdr:spPr>
          <a:xfrm flipH="1">
            <a:off x="5115110" y="4998865"/>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0" name="Flowchart: Connector 199">
            <a:extLst>
              <a:ext uri="{FF2B5EF4-FFF2-40B4-BE49-F238E27FC236}">
                <a16:creationId xmlns:a16="http://schemas.microsoft.com/office/drawing/2014/main" id="{B9412170-BCC9-49A0-BF92-FBD7D0A27AF2}"/>
              </a:ext>
            </a:extLst>
          </xdr:cNvPr>
          <xdr:cNvSpPr/>
        </xdr:nvSpPr>
        <xdr:spPr>
          <a:xfrm flipH="1">
            <a:off x="5172260" y="4996484"/>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1" name="Flowchart: Connector 200">
            <a:extLst>
              <a:ext uri="{FF2B5EF4-FFF2-40B4-BE49-F238E27FC236}">
                <a16:creationId xmlns:a16="http://schemas.microsoft.com/office/drawing/2014/main" id="{49C00DCB-E219-48E7-8C69-ADC73BD7E8A0}"/>
              </a:ext>
            </a:extLst>
          </xdr:cNvPr>
          <xdr:cNvSpPr/>
        </xdr:nvSpPr>
        <xdr:spPr>
          <a:xfrm flipH="1">
            <a:off x="5241318" y="4998427"/>
            <a:ext cx="45719" cy="48726"/>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2" name="Flowchart: Connector 201">
            <a:extLst>
              <a:ext uri="{FF2B5EF4-FFF2-40B4-BE49-F238E27FC236}">
                <a16:creationId xmlns:a16="http://schemas.microsoft.com/office/drawing/2014/main" id="{B60377AB-AAD6-461E-8275-33123B75A6EB}"/>
              </a:ext>
            </a:extLst>
          </xdr:cNvPr>
          <xdr:cNvSpPr/>
        </xdr:nvSpPr>
        <xdr:spPr>
          <a:xfrm flipH="1">
            <a:off x="5048623" y="4996487"/>
            <a:ext cx="59530" cy="45719"/>
          </a:xfrm>
          <a:prstGeom prst="flowChartConnector">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apex.web.att.com/bookview/bookview.jsp?bookname=ATT-TELCO-002-206-017&amp;section=1.17.3.2.2.1." TargetMode="External"/><Relationship Id="rId13" Type="http://schemas.openxmlformats.org/officeDocument/2006/relationships/hyperlink" Target="http://apex.web.att.com/bookview/bookview.jsp?bookname=ATT-TELCO-002-600-699" TargetMode="External"/><Relationship Id="rId3" Type="http://schemas.openxmlformats.org/officeDocument/2006/relationships/hyperlink" Target="http://apex.web.att.com/bookview/bookview.jsp?bookname=ATT-TELCO-002-600-699&amp;" TargetMode="External"/><Relationship Id="rId7" Type="http://schemas.openxmlformats.org/officeDocument/2006/relationships/hyperlink" Target="http://apex.web.att.com/bookview/bookview.jsp?bookname=ATT-TELCO-002-206-003&amp;" TargetMode="External"/><Relationship Id="rId12" Type="http://schemas.openxmlformats.org/officeDocument/2006/relationships/hyperlink" Target="http://apex.web.att.com/bookview/bookview.jsp?bookname=ATT-TELCO-002-600-699&amp;" TargetMode="External"/><Relationship Id="rId17" Type="http://schemas.openxmlformats.org/officeDocument/2006/relationships/printerSettings" Target="../printerSettings/printerSettings2.bin"/><Relationship Id="rId2" Type="http://schemas.openxmlformats.org/officeDocument/2006/relationships/hyperlink" Target="http://apex.web.att.com/bookview/bookview.jsp?bookname=ATT-TELCO-002-206-017&amp;section=1.17.4.3." TargetMode="External"/><Relationship Id="rId16" Type="http://schemas.openxmlformats.org/officeDocument/2006/relationships/hyperlink" Target="http://apex.web.att.com/bookview/bookview.jsp?bookname=ATT-TELCO-002-600-706" TargetMode="External"/><Relationship Id="rId1" Type="http://schemas.openxmlformats.org/officeDocument/2006/relationships/hyperlink" Target="http://apex.web.att.com/books/ATT-TELCO-002-206-017/figures/GPON%20Optical%20Budget%20Tool%2020141020.xlsx" TargetMode="External"/><Relationship Id="rId6" Type="http://schemas.openxmlformats.org/officeDocument/2006/relationships/hyperlink" Target="http://apex.web.att.com/bookview/bookview.jsp?bookname=ATT-TELCO-002-206-003&amp;" TargetMode="External"/><Relationship Id="rId11" Type="http://schemas.openxmlformats.org/officeDocument/2006/relationships/hyperlink" Target="http://apex.web.att.com/bookview/bookview.jsp?bookname=ATT-TELCO-002-600-699&amp;" TargetMode="External"/><Relationship Id="rId5" Type="http://schemas.openxmlformats.org/officeDocument/2006/relationships/hyperlink" Target="http://apex.web.att.com/bookview/bookview.jsp?bookname=ATT-TELCO-002-206-003&amp;" TargetMode="External"/><Relationship Id="rId15" Type="http://schemas.openxmlformats.org/officeDocument/2006/relationships/hyperlink" Target="http://apex.web.att.com/bookview/bookview.jsp?bookname=ATT-TELCO-002-206-003&amp;" TargetMode="External"/><Relationship Id="rId10" Type="http://schemas.openxmlformats.org/officeDocument/2006/relationships/hyperlink" Target="http://apex.web.att.com/bookview/bookview.jsp?bookname=ATT-TELCO-002-600-699" TargetMode="External"/><Relationship Id="rId4" Type="http://schemas.openxmlformats.org/officeDocument/2006/relationships/hyperlink" Target="http://apex.web.att.com/bookview/bookview.jsp?bookname=ATT-TELCO-002-206-003&amp;" TargetMode="External"/><Relationship Id="rId9" Type="http://schemas.openxmlformats.org/officeDocument/2006/relationships/hyperlink" Target="http://apex.web.att.com/bookview/bookview.jsp?bookname=ATT-TELCO-002-600-699&amp;section=1.3.2.2." TargetMode="External"/><Relationship Id="rId14" Type="http://schemas.openxmlformats.org/officeDocument/2006/relationships/hyperlink" Target="http://apex.web.att.com/bookview/bookview.jsp?bookname=ATT-TELCO-002-600-69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apex.web.att.com/bookview/bookview.jsp?bookname=ATT-TELCO-002-600-699&amp;" TargetMode="External"/><Relationship Id="rId13" Type="http://schemas.openxmlformats.org/officeDocument/2006/relationships/hyperlink" Target="http://apex.web.att.com/bookview/bookview.jsp?bookname=ATT-TELCO-002-600-699&amp;section=1.4.8.2.1." TargetMode="External"/><Relationship Id="rId18" Type="http://schemas.openxmlformats.org/officeDocument/2006/relationships/hyperlink" Target="http://apex.web.att.com/bookview/bookview.jsp?bookname=ATT-TELCO-002-600-699&amp;section=1.4.8.1." TargetMode="External"/><Relationship Id="rId3" Type="http://schemas.openxmlformats.org/officeDocument/2006/relationships/hyperlink" Target="http://apex.web.att.com/bookview/bookview.jsp?bookname=ATT-TELCO-002-206-017&amp;section=1.17.3.2.2.1." TargetMode="External"/><Relationship Id="rId21" Type="http://schemas.openxmlformats.org/officeDocument/2006/relationships/comments" Target="../comments1.xml"/><Relationship Id="rId7" Type="http://schemas.openxmlformats.org/officeDocument/2006/relationships/hyperlink" Target="http://apex.web.att.com/bookview/bookview.jsp?bookname=ATT-TELCO-002-206-003&amp;" TargetMode="External"/><Relationship Id="rId12" Type="http://schemas.openxmlformats.org/officeDocument/2006/relationships/hyperlink" Target="http://apex.web.att.com/bookview/bookview.jsp?bookname=ATT-TELCO-002-600-699&amp;" TargetMode="External"/><Relationship Id="rId17" Type="http://schemas.openxmlformats.org/officeDocument/2006/relationships/hyperlink" Target="https://cemgportal.it.att.com/bcl/" TargetMode="External"/><Relationship Id="rId2" Type="http://schemas.openxmlformats.org/officeDocument/2006/relationships/hyperlink" Target="http://apex.web.att.com/bookview/bookview.jsp?bookname=ATT-TELCO-002-206-017&amp;section=1.17.4.8.2." TargetMode="External"/><Relationship Id="rId16" Type="http://schemas.openxmlformats.org/officeDocument/2006/relationships/hyperlink" Target="https://leis-se.web.att.com:8443/leisweb/jsp/FrameSet.jsp" TargetMode="External"/><Relationship Id="rId20" Type="http://schemas.openxmlformats.org/officeDocument/2006/relationships/vmlDrawing" Target="../drawings/vmlDrawing1.vml"/><Relationship Id="rId1" Type="http://schemas.openxmlformats.org/officeDocument/2006/relationships/hyperlink" Target="http://apex.web.att.com/bookview/bookview.jsp?bookname=ATT-TELCO-002-206-017&amp;section=1.17.3.2.2." TargetMode="External"/><Relationship Id="rId6" Type="http://schemas.openxmlformats.org/officeDocument/2006/relationships/hyperlink" Target="http://apex.web.att.com/bookview/bookview.jsp?bookname=ATT-TELCO-002-206-017&amp;section=1.17.3.2.1." TargetMode="External"/><Relationship Id="rId11" Type="http://schemas.openxmlformats.org/officeDocument/2006/relationships/hyperlink" Target="http://apex.web.att.com/bookview/bookview.jsp?bookname=ATT-TELCO-002-600-699" TargetMode="External"/><Relationship Id="rId5" Type="http://schemas.openxmlformats.org/officeDocument/2006/relationships/hyperlink" Target="http://apex.web.att.com/bookview/bookview.jsp?bookname=ATT-TELCO-002-206-017&amp;section=1.17.4." TargetMode="External"/><Relationship Id="rId15" Type="http://schemas.openxmlformats.org/officeDocument/2006/relationships/hyperlink" Target="http://apex.web.att.com/bookview/bookview.jsp?bookname=ATT-TELCO-002-600-699&amp;section=1.4.8.1." TargetMode="External"/><Relationship Id="rId10" Type="http://schemas.openxmlformats.org/officeDocument/2006/relationships/hyperlink" Target="http://apex.web.att.com/bookview/bookview.jsp?bookname=ATT-TELCO-002-600-699&amp;section=1.3.2.2." TargetMode="External"/><Relationship Id="rId19" Type="http://schemas.openxmlformats.org/officeDocument/2006/relationships/printerSettings" Target="../printerSettings/printerSettings3.bin"/><Relationship Id="rId4" Type="http://schemas.openxmlformats.org/officeDocument/2006/relationships/hyperlink" Target="http://apex.web.att.com/bookview/bookview.jsp?bookname=ATT-TELCO-002-206-017&amp;section=1.17.3.2.2.2." TargetMode="External"/><Relationship Id="rId9" Type="http://schemas.openxmlformats.org/officeDocument/2006/relationships/hyperlink" Target="http://apex.web.att.com/bookview/bookview.jsp?bookname=ATT-TELCO-002-206-003&amp;" TargetMode="External"/><Relationship Id="rId14" Type="http://schemas.openxmlformats.org/officeDocument/2006/relationships/hyperlink" Target="http://apex.web.att.com/bookview/bookview.jsp?bookname=ATT-TELCO-002-600-699&amp;section=1.4.8.1."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24"/>
  <sheetViews>
    <sheetView workbookViewId="0">
      <selection activeCell="E22" sqref="E22"/>
    </sheetView>
  </sheetViews>
  <sheetFormatPr defaultRowHeight="15" x14ac:dyDescent="0.25"/>
  <cols>
    <col min="1" max="1" width="24.5703125" customWidth="1"/>
    <col min="2" max="2" width="19.85546875" style="1" bestFit="1" customWidth="1"/>
    <col min="3" max="3" width="24.28515625" style="1" customWidth="1"/>
    <col min="4" max="4" width="22.42578125" style="1" customWidth="1"/>
    <col min="5" max="5" width="25" style="1" customWidth="1"/>
    <col min="19" max="19" width="18.5703125" customWidth="1"/>
    <col min="20" max="20" width="17.5703125" customWidth="1"/>
  </cols>
  <sheetData>
    <row r="1" spans="1:20" x14ac:dyDescent="0.25">
      <c r="A1" t="s">
        <v>0</v>
      </c>
    </row>
    <row r="2" spans="1:20" ht="15.75" thickBot="1" x14ac:dyDescent="0.3">
      <c r="S2" t="s">
        <v>1</v>
      </c>
      <c r="T2" t="s">
        <v>2</v>
      </c>
    </row>
    <row r="3" spans="1:20" x14ac:dyDescent="0.25">
      <c r="A3" s="3" t="s">
        <v>3</v>
      </c>
      <c r="B3" s="5" t="s">
        <v>1</v>
      </c>
      <c r="S3" s="24">
        <v>32</v>
      </c>
      <c r="T3" t="s">
        <v>4</v>
      </c>
    </row>
    <row r="4" spans="1:20" ht="15.75" thickBot="1" x14ac:dyDescent="0.3">
      <c r="A4" s="4" t="s">
        <v>5</v>
      </c>
      <c r="B4" s="6" t="s">
        <v>2</v>
      </c>
      <c r="S4" s="24">
        <v>16</v>
      </c>
      <c r="T4" t="s">
        <v>6</v>
      </c>
    </row>
    <row r="5" spans="1:20" ht="15.75" thickBot="1" x14ac:dyDescent="0.3">
      <c r="A5" s="7"/>
      <c r="E5"/>
    </row>
    <row r="6" spans="1:20" ht="15.75" thickBot="1" x14ac:dyDescent="0.3">
      <c r="B6" s="12" t="s">
        <v>7</v>
      </c>
      <c r="C6" s="12" t="s">
        <v>8</v>
      </c>
      <c r="D6" s="12" t="s">
        <v>9</v>
      </c>
      <c r="E6" s="12" t="s">
        <v>10</v>
      </c>
    </row>
    <row r="7" spans="1:20" ht="17.25" x14ac:dyDescent="0.25">
      <c r="A7" s="13" t="s">
        <v>11</v>
      </c>
      <c r="B7" s="646"/>
      <c r="C7" s="20"/>
      <c r="D7" s="25">
        <v>0</v>
      </c>
      <c r="E7" s="11">
        <f>ROUNDUP(C7*1.5,0)</f>
        <v>0</v>
      </c>
    </row>
    <row r="8" spans="1:20" ht="17.25" x14ac:dyDescent="0.25">
      <c r="A8" s="14" t="s">
        <v>12</v>
      </c>
      <c r="B8" s="646"/>
      <c r="C8" s="21"/>
      <c r="D8" s="26">
        <v>0</v>
      </c>
      <c r="E8" s="10">
        <f>ROUNDUP(C8*1.25,0)</f>
        <v>0</v>
      </c>
    </row>
    <row r="9" spans="1:20" ht="17.25" x14ac:dyDescent="0.25">
      <c r="A9" s="14" t="s">
        <v>13</v>
      </c>
      <c r="B9" s="646"/>
      <c r="C9" s="21"/>
      <c r="D9" s="26">
        <v>0.25</v>
      </c>
      <c r="E9" s="10">
        <f>ROUNDUP(C9*1.18,0)</f>
        <v>0</v>
      </c>
      <c r="F9" t="s">
        <v>14</v>
      </c>
    </row>
    <row r="10" spans="1:20" x14ac:dyDescent="0.25">
      <c r="A10" s="14" t="s">
        <v>15</v>
      </c>
      <c r="B10" s="646"/>
      <c r="C10" s="21"/>
      <c r="D10" s="648"/>
      <c r="E10" s="10">
        <f>4*C10</f>
        <v>0</v>
      </c>
    </row>
    <row r="11" spans="1:20" x14ac:dyDescent="0.25">
      <c r="A11" s="14" t="s">
        <v>16</v>
      </c>
      <c r="B11" s="647"/>
      <c r="C11" s="21"/>
      <c r="D11" s="650"/>
      <c r="E11" s="10">
        <f>C11*2</f>
        <v>0</v>
      </c>
    </row>
    <row r="12" spans="1:20" ht="19.149999999999999" customHeight="1" x14ac:dyDescent="0.25">
      <c r="A12" s="14" t="s">
        <v>17</v>
      </c>
      <c r="B12" s="9"/>
      <c r="C12" s="22">
        <f>ROUNDUP(B12/9000,0)</f>
        <v>0</v>
      </c>
      <c r="D12" s="650"/>
      <c r="E12" s="10">
        <f>4*C12</f>
        <v>0</v>
      </c>
    </row>
    <row r="13" spans="1:20" ht="30" x14ac:dyDescent="0.25">
      <c r="A13" s="14" t="s">
        <v>18</v>
      </c>
      <c r="B13" s="9"/>
      <c r="C13" s="22">
        <f>ROUNDUP(B13/9000,0)</f>
        <v>0</v>
      </c>
      <c r="D13" s="650"/>
      <c r="E13" s="10">
        <f>C13*2</f>
        <v>0</v>
      </c>
    </row>
    <row r="14" spans="1:20" ht="30" x14ac:dyDescent="0.25">
      <c r="A14" s="14" t="s">
        <v>19</v>
      </c>
      <c r="B14" s="648"/>
      <c r="C14" s="21"/>
      <c r="D14" s="650"/>
      <c r="E14" s="10">
        <f>C14*4</f>
        <v>0</v>
      </c>
    </row>
    <row r="15" spans="1:20" ht="15.75" thickBot="1" x14ac:dyDescent="0.3">
      <c r="A15" s="15" t="s">
        <v>20</v>
      </c>
      <c r="B15" s="649"/>
      <c r="C15" s="23"/>
      <c r="D15" s="649"/>
      <c r="E15" s="27">
        <f>C15*6</f>
        <v>0</v>
      </c>
    </row>
    <row r="16" spans="1:20" ht="15.75" thickBot="1" x14ac:dyDescent="0.3">
      <c r="D16" s="8" t="s">
        <v>21</v>
      </c>
      <c r="E16" s="17">
        <f>(SUM(E7:E15))</f>
        <v>0</v>
      </c>
    </row>
    <row r="17" spans="4:15" ht="15.75" thickBot="1" x14ac:dyDescent="0.3">
      <c r="D17" s="8"/>
    </row>
    <row r="18" spans="4:15" ht="15.75" thickBot="1" x14ac:dyDescent="0.3">
      <c r="D18" s="16" t="s">
        <v>22</v>
      </c>
      <c r="E18" s="18" t="str">
        <f>IF(ISNUMBER(E23),IF(E23&lt;=144,1,2),E23)</f>
        <v>Enter Split Ratio Above</v>
      </c>
    </row>
    <row r="19" spans="4:15" ht="15.75" thickBot="1" x14ac:dyDescent="0.3">
      <c r="D19" s="16" t="s">
        <v>23</v>
      </c>
      <c r="E19" s="18" t="str">
        <f>IF(ISNUMBER(E23),(IF(NOT(AND(OR(ISBLANK(C7),C7=0,AND(D7&lt;&gt;0,NOT(ISBLANK(D7)))),OR(ISBLANK(C8),C8=0,AND(D8&lt;&gt;0,NOT(ISBLANK(D8)))),OR(ISBLANK(C10),C10=0),OR(ISBLANK(C11),C11=0),OR(ISBLANK(C12),C12=0),OR(ISBLANK(C13),C13=0),OR(ISBLANK(C14),C14=0))),E18,0))+ROUNDUP(((C9*D9)/B3)+((C8*D8)/B3)+((C7*D7)/B3),0),E23)</f>
        <v>Enter Split Ratio Above</v>
      </c>
    </row>
    <row r="20" spans="4:15" ht="15.75" thickBot="1" x14ac:dyDescent="0.3">
      <c r="D20" s="16" t="s">
        <v>24</v>
      </c>
      <c r="E20" s="18" t="str">
        <f>IF(B3=16,E19,IF(ISNUMBER(E23),E19-E18,E23))</f>
        <v>Enter Split Ratio Above</v>
      </c>
    </row>
    <row r="21" spans="4:15" ht="15.75" thickBot="1" x14ac:dyDescent="0.3">
      <c r="D21" s="16" t="s">
        <v>25</v>
      </c>
      <c r="E21" s="18" t="str">
        <f>IF(B3="Enter Split Ratio Here","Enter Split Ratio Above",ROUNDUP(SUM(C7:C14)/B3,0))</f>
        <v>Enter Split Ratio Above</v>
      </c>
    </row>
    <row r="22" spans="4:15" ht="15.75" thickBot="1" x14ac:dyDescent="0.3">
      <c r="D22" s="16" t="s">
        <v>26</v>
      </c>
      <c r="E22" s="28">
        <f>ROUNDUP((SUM(C10:C14)*2*0.25),0)+E15</f>
        <v>0</v>
      </c>
      <c r="F22" s="2"/>
      <c r="G22" s="2"/>
      <c r="H22" s="2"/>
      <c r="I22" s="2"/>
      <c r="J22" s="2"/>
      <c r="K22" s="2"/>
      <c r="L22" s="2"/>
      <c r="M22" s="2"/>
      <c r="N22" s="2"/>
      <c r="O22" s="2"/>
    </row>
    <row r="23" spans="4:15" ht="15.75" thickBot="1" x14ac:dyDescent="0.3">
      <c r="D23" s="16" t="s">
        <v>27</v>
      </c>
      <c r="E23" s="19" t="str">
        <f>IF(B3="Enter Split Ratio Here","Enter Split Ratio Above",(IF(B4="Enter PFP Type Here","Enter PFP Type Above",(IF(E16=0,"Enter Sizing Data",(IF(B3="1X32",(IF(AND(E16&lt;96,E22&lt;=24),96,(IF(AND(E16&lt;144,E22&lt;=15),144,(IF(AND(E16&lt;288,E22&lt;=36),288,(IF(AND(E16&lt;=432,OR(AND(E22&lt;=121,B4="PAD"),AND(E22&lt;=36,B4="POLE"))),432,(IF(AND(E16&lt;576,B4="POLE",E22&lt;=36),576,(IF(E16&lt;864,864,"The number of distribution fibers exceeds the maximum PFP capacity.  You must split the PSA")))))))))))),IF(AND(E16&lt;=96,E21&lt;=6,E22&lt;=24),96,IF(AND(E16&lt;=144,E21&lt;=7,E22&lt;=15),144,IF(AND(E16&lt;=288,E21&lt;=18,E22&lt;=36),288,IF(AND(E16&lt;=432,E21&lt;=23,OR(AND(E22&lt;=121,B4="PAD"),AND(E22&lt;=36,B4="POLE"))),432,IF(AND(E16&lt;=576,E21&lt;=23,B4="POLE",E22&lt;=36),576,IF(AND(E16&lt;=864,E21&lt;=36,E22&lt;=252),864,"The ultimate number of splitters required exceeds the maximum capacity of a PFP.  You must split the PSA")))))))))))))</f>
        <v>Enter Split Ratio Above</v>
      </c>
    </row>
    <row r="24" spans="4:15" ht="15.75" thickBot="1" x14ac:dyDescent="0.3">
      <c r="D24" s="16" t="s">
        <v>28</v>
      </c>
      <c r="E24" s="18" t="str">
        <f>IF(ISNUMBER(E21),E22+E21,E21)</f>
        <v>Enter Split Ratio Above</v>
      </c>
    </row>
  </sheetData>
  <mergeCells count="3">
    <mergeCell ref="B7:B11"/>
    <mergeCell ref="B14:B15"/>
    <mergeCell ref="D10:D15"/>
  </mergeCells>
  <dataValidations count="2">
    <dataValidation type="list" allowBlank="1" showInputMessage="1" showErrorMessage="1" sqref="B3" xr:uid="{00000000-0002-0000-0000-000000000000}">
      <formula1>$S$2:$S$4</formula1>
    </dataValidation>
    <dataValidation type="list" allowBlank="1" showInputMessage="1" showErrorMessage="1" sqref="B4" xr:uid="{00000000-0002-0000-0000-000001000000}">
      <formula1>$T$2:$T$4</formula1>
    </dataValidation>
  </dataValidations>
  <pageMargins left="0.7" right="0.7" top="0.75" bottom="0.75" header="0.3" footer="0.3"/>
  <pageSetup orientation="portrait" horizontalDpi="4294967293" verticalDpi="4294967293" r:id="rId1"/>
  <ignoredErrors>
    <ignoredError sqref="E11"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J28"/>
  <sheetViews>
    <sheetView topLeftCell="A8" workbookViewId="0">
      <selection activeCell="A23" sqref="A23:J23"/>
    </sheetView>
  </sheetViews>
  <sheetFormatPr defaultRowHeight="15" x14ac:dyDescent="0.25"/>
  <cols>
    <col min="10" max="10" width="8.85546875" customWidth="1"/>
  </cols>
  <sheetData>
    <row r="1" spans="1:10" ht="15.75" thickBot="1" x14ac:dyDescent="0.3"/>
    <row r="2" spans="1:10" ht="21.75" thickBot="1" x14ac:dyDescent="0.4">
      <c r="A2" s="666" t="s">
        <v>29</v>
      </c>
      <c r="B2" s="667"/>
      <c r="C2" s="667"/>
      <c r="D2" s="667"/>
      <c r="E2" s="667"/>
      <c r="F2" s="667"/>
      <c r="G2" s="667"/>
      <c r="H2" s="667"/>
      <c r="I2" s="667"/>
      <c r="J2" s="668"/>
    </row>
    <row r="3" spans="1:10" ht="45" customHeight="1" x14ac:dyDescent="0.25">
      <c r="A3" s="676" t="s">
        <v>431</v>
      </c>
      <c r="B3" s="677"/>
      <c r="C3" s="677"/>
      <c r="D3" s="677"/>
      <c r="E3" s="677"/>
      <c r="F3" s="677"/>
      <c r="G3" s="677"/>
      <c r="H3" s="677"/>
      <c r="I3" s="677"/>
      <c r="J3" s="678"/>
    </row>
    <row r="4" spans="1:10" ht="30" customHeight="1" x14ac:dyDescent="0.25">
      <c r="A4" s="651" t="s">
        <v>30</v>
      </c>
      <c r="B4" s="652"/>
      <c r="C4" s="652"/>
      <c r="D4" s="652"/>
      <c r="E4" s="652"/>
      <c r="F4" s="652"/>
      <c r="G4" s="652"/>
      <c r="H4" s="652"/>
      <c r="I4" s="652"/>
      <c r="J4" s="653"/>
    </row>
    <row r="5" spans="1:10" ht="30" customHeight="1" x14ac:dyDescent="0.25">
      <c r="A5" s="651" t="s">
        <v>31</v>
      </c>
      <c r="B5" s="652"/>
      <c r="C5" s="652"/>
      <c r="D5" s="652"/>
      <c r="E5" s="652"/>
      <c r="F5" s="652"/>
      <c r="G5" s="652"/>
      <c r="H5" s="652"/>
      <c r="I5" s="652"/>
      <c r="J5" s="653"/>
    </row>
    <row r="6" spans="1:10" ht="30" customHeight="1" x14ac:dyDescent="0.25">
      <c r="A6" s="651" t="s">
        <v>32</v>
      </c>
      <c r="B6" s="652"/>
      <c r="C6" s="652"/>
      <c r="D6" s="652"/>
      <c r="E6" s="652"/>
      <c r="F6" s="652"/>
      <c r="G6" s="652"/>
      <c r="H6" s="652"/>
      <c r="I6" s="652"/>
      <c r="J6" s="653"/>
    </row>
    <row r="7" spans="1:10" ht="30" customHeight="1" x14ac:dyDescent="0.25">
      <c r="A7" s="651" t="s">
        <v>33</v>
      </c>
      <c r="B7" s="652"/>
      <c r="C7" s="652"/>
      <c r="D7" s="652"/>
      <c r="E7" s="652"/>
      <c r="F7" s="652"/>
      <c r="G7" s="652"/>
      <c r="H7" s="652"/>
      <c r="I7" s="652"/>
      <c r="J7" s="653"/>
    </row>
    <row r="8" spans="1:10" ht="80.099999999999994" customHeight="1" x14ac:dyDescent="0.25">
      <c r="A8" s="672" t="s">
        <v>429</v>
      </c>
      <c r="B8" s="673"/>
      <c r="C8" s="673"/>
      <c r="D8" s="673"/>
      <c r="E8" s="673"/>
      <c r="F8" s="673"/>
      <c r="G8" s="673"/>
      <c r="H8" s="673"/>
      <c r="I8" s="673"/>
      <c r="J8" s="674"/>
    </row>
    <row r="9" spans="1:10" ht="80.099999999999994" customHeight="1" x14ac:dyDescent="0.25">
      <c r="A9" s="672" t="s">
        <v>430</v>
      </c>
      <c r="B9" s="673"/>
      <c r="C9" s="673"/>
      <c r="D9" s="673"/>
      <c r="E9" s="673"/>
      <c r="F9" s="673"/>
      <c r="G9" s="673"/>
      <c r="H9" s="673"/>
      <c r="I9" s="673"/>
      <c r="J9" s="674"/>
    </row>
    <row r="10" spans="1:10" ht="60" customHeight="1" x14ac:dyDescent="0.25">
      <c r="A10" s="675" t="s">
        <v>428</v>
      </c>
      <c r="B10" s="652"/>
      <c r="C10" s="652"/>
      <c r="D10" s="652"/>
      <c r="E10" s="652"/>
      <c r="F10" s="652"/>
      <c r="G10" s="652"/>
      <c r="H10" s="652"/>
      <c r="I10" s="652"/>
      <c r="J10" s="653"/>
    </row>
    <row r="11" spans="1:10" ht="15" customHeight="1" x14ac:dyDescent="0.25">
      <c r="A11" s="651" t="s">
        <v>34</v>
      </c>
      <c r="B11" s="652"/>
      <c r="C11" s="652"/>
      <c r="D11" s="652"/>
      <c r="E11" s="652"/>
      <c r="F11" s="652"/>
      <c r="G11" s="652"/>
      <c r="H11" s="652"/>
      <c r="I11" s="652"/>
      <c r="J11" s="653"/>
    </row>
    <row r="12" spans="1:10" ht="30" customHeight="1" x14ac:dyDescent="0.25">
      <c r="A12" s="651" t="s">
        <v>35</v>
      </c>
      <c r="B12" s="652"/>
      <c r="C12" s="652"/>
      <c r="D12" s="652"/>
      <c r="E12" s="652"/>
      <c r="F12" s="652"/>
      <c r="G12" s="652"/>
      <c r="H12" s="652"/>
      <c r="I12" s="652"/>
      <c r="J12" s="653"/>
    </row>
    <row r="13" spans="1:10" ht="30" customHeight="1" x14ac:dyDescent="0.25">
      <c r="A13" s="651" t="s">
        <v>36</v>
      </c>
      <c r="B13" s="652"/>
      <c r="C13" s="652"/>
      <c r="D13" s="652"/>
      <c r="E13" s="652"/>
      <c r="F13" s="652"/>
      <c r="G13" s="652"/>
      <c r="H13" s="652"/>
      <c r="I13" s="652"/>
      <c r="J13" s="653"/>
    </row>
    <row r="14" spans="1:10" ht="30" customHeight="1" x14ac:dyDescent="0.25">
      <c r="A14" s="651" t="s">
        <v>37</v>
      </c>
      <c r="B14" s="652"/>
      <c r="C14" s="652"/>
      <c r="D14" s="652"/>
      <c r="E14" s="652"/>
      <c r="F14" s="652"/>
      <c r="G14" s="652"/>
      <c r="H14" s="652"/>
      <c r="I14" s="652"/>
      <c r="J14" s="653"/>
    </row>
    <row r="15" spans="1:10" ht="15" customHeight="1" x14ac:dyDescent="0.25">
      <c r="A15" s="651" t="s">
        <v>38</v>
      </c>
      <c r="B15" s="652"/>
      <c r="C15" s="652"/>
      <c r="D15" s="652"/>
      <c r="E15" s="652"/>
      <c r="F15" s="652"/>
      <c r="G15" s="652"/>
      <c r="H15" s="652"/>
      <c r="I15" s="652"/>
      <c r="J15" s="653"/>
    </row>
    <row r="16" spans="1:10" ht="80.099999999999994" customHeight="1" x14ac:dyDescent="0.25">
      <c r="A16" s="651" t="s">
        <v>381</v>
      </c>
      <c r="B16" s="652"/>
      <c r="C16" s="652"/>
      <c r="D16" s="652"/>
      <c r="E16" s="652"/>
      <c r="F16" s="652"/>
      <c r="G16" s="652"/>
      <c r="H16" s="652"/>
      <c r="I16" s="652"/>
      <c r="J16" s="653"/>
    </row>
    <row r="17" spans="1:10" ht="50.1" customHeight="1" x14ac:dyDescent="0.25">
      <c r="A17" s="651" t="s">
        <v>382</v>
      </c>
      <c r="B17" s="652"/>
      <c r="C17" s="652"/>
      <c r="D17" s="652"/>
      <c r="E17" s="652"/>
      <c r="F17" s="652"/>
      <c r="G17" s="652"/>
      <c r="H17" s="652"/>
      <c r="I17" s="652"/>
      <c r="J17" s="653"/>
    </row>
    <row r="18" spans="1:10" ht="30" customHeight="1" thickBot="1" x14ac:dyDescent="0.3">
      <c r="A18" s="660" t="s">
        <v>39</v>
      </c>
      <c r="B18" s="661"/>
      <c r="C18" s="661"/>
      <c r="D18" s="661"/>
      <c r="E18" s="661"/>
      <c r="F18" s="661"/>
      <c r="G18" s="661"/>
      <c r="H18" s="661"/>
      <c r="I18" s="661"/>
      <c r="J18" s="662"/>
    </row>
    <row r="19" spans="1:10" ht="15.75" thickBot="1" x14ac:dyDescent="0.3"/>
    <row r="20" spans="1:10" ht="21.75" thickBot="1" x14ac:dyDescent="0.4">
      <c r="A20" s="669" t="s">
        <v>40</v>
      </c>
      <c r="B20" s="670"/>
      <c r="C20" s="670"/>
      <c r="D20" s="670"/>
      <c r="E20" s="670"/>
      <c r="F20" s="670"/>
      <c r="G20" s="670"/>
      <c r="H20" s="670"/>
      <c r="I20" s="670"/>
      <c r="J20" s="671"/>
    </row>
    <row r="21" spans="1:10" x14ac:dyDescent="0.25">
      <c r="A21" s="654" t="s">
        <v>41</v>
      </c>
      <c r="B21" s="655"/>
      <c r="C21" s="655"/>
      <c r="D21" s="655"/>
      <c r="E21" s="655"/>
      <c r="F21" s="655"/>
      <c r="G21" s="655"/>
      <c r="H21" s="655"/>
      <c r="I21" s="655"/>
      <c r="J21" s="656"/>
    </row>
    <row r="22" spans="1:10" ht="26.25" customHeight="1" x14ac:dyDescent="0.25">
      <c r="A22" s="663" t="s">
        <v>442</v>
      </c>
      <c r="B22" s="664"/>
      <c r="C22" s="664"/>
      <c r="D22" s="664"/>
      <c r="E22" s="664"/>
      <c r="F22" s="664"/>
      <c r="G22" s="664"/>
      <c r="H22" s="664"/>
      <c r="I22" s="664"/>
      <c r="J22" s="665"/>
    </row>
    <row r="23" spans="1:10" x14ac:dyDescent="0.25">
      <c r="A23" s="663" t="s">
        <v>42</v>
      </c>
      <c r="B23" s="664"/>
      <c r="C23" s="664"/>
      <c r="D23" s="664"/>
      <c r="E23" s="664"/>
      <c r="F23" s="664"/>
      <c r="G23" s="664"/>
      <c r="H23" s="664"/>
      <c r="I23" s="664"/>
      <c r="J23" s="665"/>
    </row>
    <row r="24" spans="1:10" ht="26.25" customHeight="1" x14ac:dyDescent="0.25">
      <c r="A24" s="663" t="s">
        <v>43</v>
      </c>
      <c r="B24" s="664"/>
      <c r="C24" s="664"/>
      <c r="D24" s="664"/>
      <c r="E24" s="664"/>
      <c r="F24" s="664"/>
      <c r="G24" s="664"/>
      <c r="H24" s="664"/>
      <c r="I24" s="664"/>
      <c r="J24" s="665"/>
    </row>
    <row r="25" spans="1:10" x14ac:dyDescent="0.25">
      <c r="A25" s="654" t="s">
        <v>44</v>
      </c>
      <c r="B25" s="655"/>
      <c r="C25" s="655"/>
      <c r="D25" s="655"/>
      <c r="E25" s="655"/>
      <c r="F25" s="655"/>
      <c r="G25" s="655"/>
      <c r="H25" s="655"/>
      <c r="I25" s="655"/>
      <c r="J25" s="656"/>
    </row>
    <row r="26" spans="1:10" x14ac:dyDescent="0.25">
      <c r="A26" s="654" t="s">
        <v>45</v>
      </c>
      <c r="B26" s="655"/>
      <c r="C26" s="655"/>
      <c r="D26" s="655"/>
      <c r="E26" s="655"/>
      <c r="F26" s="655"/>
      <c r="G26" s="655"/>
      <c r="H26" s="655"/>
      <c r="I26" s="655"/>
      <c r="J26" s="656"/>
    </row>
    <row r="27" spans="1:10" x14ac:dyDescent="0.25">
      <c r="A27" s="654" t="s">
        <v>46</v>
      </c>
      <c r="B27" s="655"/>
      <c r="C27" s="655"/>
      <c r="D27" s="655"/>
      <c r="E27" s="655"/>
      <c r="F27" s="655"/>
      <c r="G27" s="655"/>
      <c r="H27" s="655"/>
      <c r="I27" s="655"/>
      <c r="J27" s="656"/>
    </row>
    <row r="28" spans="1:10" ht="15.75" thickBot="1" x14ac:dyDescent="0.3">
      <c r="A28" s="657" t="s">
        <v>47</v>
      </c>
      <c r="B28" s="658"/>
      <c r="C28" s="658"/>
      <c r="D28" s="658"/>
      <c r="E28" s="658"/>
      <c r="F28" s="658"/>
      <c r="G28" s="658"/>
      <c r="H28" s="658"/>
      <c r="I28" s="658"/>
      <c r="J28" s="659"/>
    </row>
  </sheetData>
  <sheetProtection algorithmName="SHA-512" hashValue="mePz7My4DdEyH8KrQ11g9PPYxQEtsOkpNuOVkiWvfq1L8KdKW2MfNW7VXUd3bQu0vJSkyQ/2I6O+OSE93wQ5kg==" saltValue="v7q4CzLDMfwGYdwzaCsaNQ==" spinCount="100000" sheet="1" objects="1" scenarios="1"/>
  <mergeCells count="26">
    <mergeCell ref="A2:J2"/>
    <mergeCell ref="A20:J20"/>
    <mergeCell ref="A17:J17"/>
    <mergeCell ref="A11:J11"/>
    <mergeCell ref="A4:J4"/>
    <mergeCell ref="A5:J5"/>
    <mergeCell ref="A8:J8"/>
    <mergeCell ref="A9:J9"/>
    <mergeCell ref="A10:J10"/>
    <mergeCell ref="A7:J7"/>
    <mergeCell ref="A12:J12"/>
    <mergeCell ref="A13:J13"/>
    <mergeCell ref="A14:J14"/>
    <mergeCell ref="A16:J16"/>
    <mergeCell ref="A15:J15"/>
    <mergeCell ref="A3:J3"/>
    <mergeCell ref="A6:J6"/>
    <mergeCell ref="A25:J25"/>
    <mergeCell ref="A21:J21"/>
    <mergeCell ref="A28:J28"/>
    <mergeCell ref="A27:J27"/>
    <mergeCell ref="A26:J26"/>
    <mergeCell ref="A18:J18"/>
    <mergeCell ref="A22:J22"/>
    <mergeCell ref="A23:J23"/>
    <mergeCell ref="A24:J24"/>
  </mergeCells>
  <hyperlinks>
    <hyperlink ref="A4" r:id="rId1" display="1) Determine the Split Ration using the GPON Optical Budget Tool.  Enter 32 for 1X32 split and 16 for 1X16 split." xr:uid="{00000000-0004-0000-0200-000000000000}"/>
    <hyperlink ref="A5" r:id="rId2" display="See Charts in CLR 17.4.3 for PFP mounting types available for each size." xr:uid="{00000000-0004-0000-0200-000001000000}"/>
    <hyperlink ref="A10:J10" r:id="rId3" location="1.4.8.2." display="8) Enter any LightGig living units in the build plan of this PSA in cell B27 and other LightGig/Overbuild living units not in the build plan in cell C27.  If there is a CCU contract for this development change the take rate in cell D27 based on the contract otherwise leave the default LightGig value (25%)." xr:uid="{00000000-0004-0000-0200-000004000000}"/>
    <hyperlink ref="A11:J11" r:id="rId4" location="1.3.2.1.2.2." display="9) Enter the number of single tenant business units in cell C31." xr:uid="{00000000-0004-0000-0200-000005000000}"/>
    <hyperlink ref="A12:J12" r:id="rId5" location="1.3.2.1.2.2." display="10) Enter the number of multi-tenant business units in cell C32. This is the total number of units not buildings/structures." xr:uid="{00000000-0004-0000-0200-000006000000}"/>
    <hyperlink ref="A13:J13" r:id="rId6" location="1.3.2.1.2.2." display="11) Enter the square footage of known single tenant business units in cell B33.  This value is based on 1 business per 9000 square ft." xr:uid="{00000000-0004-0000-0200-000007000000}"/>
    <hyperlink ref="A14:J14" r:id="rId7" location="1.3.2.1.2.2." display="12) Enter the square footage of known multi-tenant business units in cell B34.  This value is based on 1 business per 9000 square ft." xr:uid="{00000000-0004-0000-0200-000008000000}"/>
    <hyperlink ref="A15" r:id="rId8" display="8) Enter the number of E-Rate locations (Schools or Libraries) in cell C21. " xr:uid="{00000000-0004-0000-0200-000009000000}"/>
    <hyperlink ref="A16:J16" r:id="rId9" display="14) Enter the number of CRAN nodes and Macro Mobility Sites in this PSA.  For Mobility Macro Sites you can enter upto 12 fibers for unknown needs (Pass thru and Distribution will be calculated for each fiber added.)  For each rural macro site 12 F1 and F2 fibers will be calculated.  For each urban macro site 24 F1 and F2 fibers will be calculated.   For CRAN 8 F1 pass-thru and 8 distribution fibers will be calculation per node." xr:uid="{00000000-0004-0000-0200-00000A000000}"/>
    <hyperlink ref="A7:J7" r:id="rId10" location="1.4.5." display="5) See Charts in ATT-TELCO-002-600-699 section 3.5 for details on 3M PFP Retrofits.  Enter Yes or No in Cell B18." xr:uid="{00000000-0004-0000-0200-00000B000000}"/>
    <hyperlink ref="A17:J17" r:id="rId11" location="1.3.1." display="15) Enter the projected take rate for Pass Thru services in cell G43.  The default rate is 25% based on CLR 17.3.2.1.  Enter notes in cell H43 as to why you changed the rate if you use a value other than 25%." xr:uid="{00000000-0004-0000-0200-00000C000000}"/>
    <hyperlink ref="A4:J4" r:id="rId12" location="1.3.3.1." display="2) Determine the Split Ratio using the GPON Optical Budget Tool.  See Optical Budget instructions below.  Cell B15 will be updated automatically." xr:uid="{146E36D4-F457-43F2-BAA0-FAD39B3E6231}"/>
    <hyperlink ref="A6:J6" r:id="rId13" location="1.4.4." display="4)  See Charts in ATT-TELCO-002-600-699 section 3.4 for details on RDP PFPs.  Enter Yes or No in Cell B17.  Must be inside PFPs." xr:uid="{92C38273-63BC-4BFB-9651-85BFF0B5EEF4}"/>
    <hyperlink ref="A5:J5" r:id="rId14" location="1.4.3." display="3) Use the charts in ATT-TELCO-002-600-699 section 3.3 to help you determine the desired PFP mounting type if unknown.  Enter mounting type in cell B16." xr:uid="{EAA04800-3930-4A76-A538-E2C0DB8050E7}"/>
    <hyperlink ref="A15:J15" r:id="rId15" location="1.3.2.1.2." display="13) Enter the number of E-Rate locations (Schools or Libraries) in this PSA in cell C35. " xr:uid="{543D6E94-A2E8-4387-9F54-EDA4A5066F6F}"/>
    <hyperlink ref="A18:J18" r:id="rId16" display="16) Enter the number of DPUs needed as per the CCU requirements for a G.FAST agreement.  See G.FAST practice for more details:  ATT-TELCO-002-600-706" xr:uid="{E283EE06-F5E1-4FA1-9B05-147D629D4701}"/>
  </hyperlinks>
  <pageMargins left="0.7" right="0.7" top="0.75" bottom="0.75" header="0.3" footer="0.3"/>
  <pageSetup scale="99" fitToHeight="0" orientation="portrait" r:id="rId17"/>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6649A-403D-4BDD-B2D6-5FE63F3C88E1}">
  <sheetPr codeName="Sheet2">
    <pageSetUpPr fitToPage="1"/>
  </sheetPr>
  <dimension ref="A1:K99"/>
  <sheetViews>
    <sheetView tabSelected="1" zoomScale="93" zoomScaleNormal="93" workbookViewId="0">
      <selection activeCell="D3" sqref="D3:I3"/>
    </sheetView>
  </sheetViews>
  <sheetFormatPr defaultColWidth="9.140625" defaultRowHeight="15" x14ac:dyDescent="0.25"/>
  <cols>
    <col min="1" max="1" width="28.85546875" customWidth="1"/>
    <col min="2" max="2" width="20.7109375" customWidth="1"/>
    <col min="3" max="3" width="20.5703125" customWidth="1"/>
    <col min="4" max="4" width="11.28515625" customWidth="1"/>
    <col min="5" max="5" width="17.85546875" customWidth="1"/>
    <col min="6" max="6" width="12" customWidth="1"/>
    <col min="7" max="7" width="9" customWidth="1"/>
    <col min="8" max="8" width="36.140625" customWidth="1"/>
    <col min="9" max="9" width="13.5703125" customWidth="1"/>
  </cols>
  <sheetData>
    <row r="1" spans="1:9" x14ac:dyDescent="0.25">
      <c r="A1" s="527" t="s">
        <v>456</v>
      </c>
      <c r="B1" s="1"/>
      <c r="C1" s="1"/>
      <c r="D1" s="1"/>
      <c r="E1" s="1"/>
      <c r="F1" s="37"/>
      <c r="G1" s="37"/>
      <c r="H1" s="37"/>
      <c r="I1" s="37"/>
    </row>
    <row r="2" spans="1:9" ht="15.75" thickBot="1" x14ac:dyDescent="0.3">
      <c r="A2" s="37" t="s">
        <v>48</v>
      </c>
      <c r="B2" s="1"/>
      <c r="C2" s="1"/>
      <c r="D2" s="1"/>
      <c r="E2" s="1"/>
      <c r="F2" s="37"/>
      <c r="G2" s="37"/>
      <c r="H2" s="37"/>
      <c r="I2" s="37"/>
    </row>
    <row r="3" spans="1:9" ht="15.75" thickBot="1" x14ac:dyDescent="0.3">
      <c r="A3" s="528" t="s">
        <v>49</v>
      </c>
      <c r="B3" s="259" t="s">
        <v>465</v>
      </c>
      <c r="C3" s="529" t="s">
        <v>50</v>
      </c>
      <c r="D3" s="715" t="s">
        <v>464</v>
      </c>
      <c r="E3" s="716"/>
      <c r="F3" s="716"/>
      <c r="G3" s="716"/>
      <c r="H3" s="716"/>
      <c r="I3" s="717"/>
    </row>
    <row r="4" spans="1:9" ht="15.75" thickBot="1" x14ac:dyDescent="0.3">
      <c r="A4" s="528" t="s">
        <v>51</v>
      </c>
      <c r="B4" s="259" t="s">
        <v>443</v>
      </c>
      <c r="C4" s="8"/>
      <c r="D4" s="1"/>
      <c r="E4" s="1"/>
      <c r="F4" s="1"/>
      <c r="G4" s="1"/>
      <c r="H4" s="1"/>
      <c r="I4" s="1"/>
    </row>
    <row r="5" spans="1:9" ht="15.75" thickBot="1" x14ac:dyDescent="0.3">
      <c r="A5" s="528" t="s">
        <v>52</v>
      </c>
      <c r="B5" s="259" t="s">
        <v>458</v>
      </c>
      <c r="C5" s="8"/>
      <c r="D5" s="718" t="s">
        <v>53</v>
      </c>
      <c r="E5" s="719"/>
      <c r="F5" s="719"/>
      <c r="G5" s="719"/>
      <c r="H5" s="719"/>
      <c r="I5" s="720"/>
    </row>
    <row r="6" spans="1:9" ht="15.75" thickBot="1" x14ac:dyDescent="0.3">
      <c r="A6" s="530" t="s">
        <v>54</v>
      </c>
      <c r="B6" s="522">
        <v>161</v>
      </c>
      <c r="C6" s="531" t="s">
        <v>55</v>
      </c>
      <c r="D6" s="721" t="s">
        <v>459</v>
      </c>
      <c r="E6" s="722"/>
      <c r="F6" s="722"/>
      <c r="G6" s="722"/>
      <c r="H6" s="723"/>
      <c r="I6" s="34" t="s">
        <v>460</v>
      </c>
    </row>
    <row r="7" spans="1:9" ht="30.75" thickBot="1" x14ac:dyDescent="0.3">
      <c r="A7" s="532" t="s">
        <v>56</v>
      </c>
      <c r="B7" s="259" t="s">
        <v>451</v>
      </c>
      <c r="C7" s="1"/>
      <c r="D7" s="724" t="s">
        <v>439</v>
      </c>
      <c r="E7" s="725"/>
      <c r="F7" s="725"/>
      <c r="G7" s="725"/>
      <c r="H7" s="726"/>
      <c r="I7" s="158">
        <v>8.1</v>
      </c>
    </row>
    <row r="8" spans="1:9" ht="16.5" thickBot="1" x14ac:dyDescent="0.3">
      <c r="A8" s="533"/>
      <c r="C8" s="1"/>
      <c r="D8" s="727" t="s">
        <v>440</v>
      </c>
      <c r="E8" s="728"/>
      <c r="F8" s="728"/>
      <c r="G8" s="728"/>
      <c r="H8" s="729"/>
      <c r="I8" s="159">
        <v>2</v>
      </c>
    </row>
    <row r="9" spans="1:9" ht="15" customHeight="1" x14ac:dyDescent="0.25">
      <c r="A9" s="622"/>
      <c r="B9" s="260"/>
      <c r="C9" s="1"/>
      <c r="D9" s="731" t="s">
        <v>57</v>
      </c>
      <c r="E9" s="732"/>
      <c r="F9" s="733" t="s">
        <v>336</v>
      </c>
      <c r="G9" s="734"/>
      <c r="H9" s="624" t="s">
        <v>58</v>
      </c>
      <c r="I9" s="160">
        <v>2</v>
      </c>
    </row>
    <row r="10" spans="1:9" ht="15.75" thickBot="1" x14ac:dyDescent="0.3">
      <c r="A10" s="37"/>
      <c r="B10" s="260"/>
      <c r="C10" s="1"/>
      <c r="D10" s="750" t="s">
        <v>59</v>
      </c>
      <c r="E10" s="751"/>
      <c r="F10" s="755" t="s">
        <v>336</v>
      </c>
      <c r="G10" s="756"/>
      <c r="H10" s="625" t="s">
        <v>60</v>
      </c>
      <c r="I10" s="633">
        <v>4.2</v>
      </c>
    </row>
    <row r="11" spans="1:9" x14ac:dyDescent="0.25">
      <c r="A11" s="37"/>
      <c r="B11" s="260"/>
      <c r="C11" s="1"/>
      <c r="D11" s="760" t="s">
        <v>437</v>
      </c>
      <c r="E11" s="761"/>
      <c r="F11" s="761"/>
      <c r="G11" s="761"/>
      <c r="H11" s="762"/>
      <c r="I11" s="634">
        <f>I10+I7</f>
        <v>12.3</v>
      </c>
    </row>
    <row r="12" spans="1:9" ht="30" x14ac:dyDescent="0.25">
      <c r="A12" s="623"/>
      <c r="B12" s="1"/>
      <c r="C12" s="1"/>
      <c r="D12" s="763" t="s">
        <v>438</v>
      </c>
      <c r="E12" s="764"/>
      <c r="F12" s="764"/>
      <c r="G12" s="764"/>
      <c r="H12" s="765"/>
      <c r="I12" s="626" t="str">
        <f>IF(NOT(D6="Select Optics"),IF(I6="Select Class", "Select Class Above",IF(OR(F9="Planned/Placed/No",F10="Yes/No"),"Answer FiberWise Questions", IF(OR(I7=0,I7="",I10=0,I10="",I8=0,I8=""), "Enter All information Above",IF(I9="Select # of Optitip","Select # of Optitip Above",IF(OR(D6="CO XGSPON Optics", D6="ROLT XGSPON Optics"),IF(I11&lt;='XGSPON Budget Calculator'!$D$39,"1x64",IF(I11&lt;='XGSPON Budget Calculator'!$F$39,"1x32",IF(AND(I11&lt;='XGSPON Budget Calculator'!$H$39,D6="ROLT XGSPON Optics"),"1x16","ROLT"))),IF(I11&lt;='GPON Budget Calculator'!$D$39,"1x32",IF(I11&lt;='GPON Budget Calculator'!$F$39,"1x16","ROLT"))))))),"Select Optics Above")</f>
        <v>1x64</v>
      </c>
    </row>
    <row r="13" spans="1:9" ht="30.75" customHeight="1" x14ac:dyDescent="0.25">
      <c r="A13" s="37"/>
      <c r="B13" s="534"/>
      <c r="C13" s="1"/>
      <c r="D13" s="766" t="s">
        <v>61</v>
      </c>
      <c r="E13" s="767"/>
      <c r="F13" s="767"/>
      <c r="G13" s="767"/>
      <c r="H13" s="768"/>
      <c r="I13" s="626">
        <f>IF(NOT(D6="Select Optics"),IF(I6="Select Class", "Select Class Above",IF(OR(F9="Planned/Placed/No",F10="Yes/No"),"Answer FiberWise Questions", IF($I$12="Enter All Information Above",$I$12,IF($I$9="Select # of Optitip","Select # of Optitip Above",IF(OR(D6="CO XGSPON Optics", D6="ROLT XGSPON Optics"), ABS(IF($I$11&lt;='XGSPON Budget Calculator'!$D$39,SUM('XGSPON Budget Calculator'!D$10:D$18),IF($I$11&lt;='XGSPON Budget Calculator'!$F$39,SUM('XGSPON Budget Calculator'!F$10:F$18),IF($I$11&lt;='XGSPON Budget Calculator'!$H$39,SUM('XGSPON Budget Calculator'!H$10:H$18),NA())))+('XGSPON Budget Calculator'!$C$7+$I$7*('XGSPON Budget Calculator'!$D$43+'XGSPON Budget Calculator'!$C$33/$I$8))), ABS(IF($I$11&lt;='GPON Budget Calculator'!$D$39,SUM('GPON Budget Calculator'!D$10:D$18),IF($I$11&lt;='GPON Budget Calculator'!$F$39,SUM('GPON Budget Calculator'!F$10:F$18),NA()))+'GPON Budget Calculator'!$C$7+$I$7*('GPON Budget Calculator'!$B$43+'GPON Budget Calculator'!$C$33/$I$8))))))),"Select Optics Above")</f>
        <v>22.866554878048778</v>
      </c>
    </row>
    <row r="14" spans="1:9" ht="49.5" customHeight="1" thickBot="1" x14ac:dyDescent="0.3">
      <c r="A14" s="533" t="s">
        <v>62</v>
      </c>
      <c r="B14" s="1"/>
      <c r="C14" s="1"/>
      <c r="D14" s="769" t="s">
        <v>63</v>
      </c>
      <c r="E14" s="770"/>
      <c r="F14" s="770"/>
      <c r="G14" s="770"/>
      <c r="H14" s="771"/>
      <c r="I14" s="635">
        <f>IF(NOT(D6="Select Optics"),IF(I6="Select Class", "Select Class Above",IF(OR(F9="Planned/Placed/No",F10="Yes/No"),"Answer FiberWise Questions", IF($I$12="Enter All Information Above",$I$12,IF($I$9="Select # of Optitip","Select # of Optitip Above",IF(OR(D6="CO XGSPON Optics", D6="ROLT XGSPON Optics"),ABS(IF($I$11&lt;='XGSPON Budget Calculator'!$D$39,SUM('XGSPON Budget Calculator'!E$10:E$18),IF($I$11&lt;='XGSPON Budget Calculator'!$F$39,SUM('XGSPON Budget Calculator'!G$10:G$18),IF($I$11&lt;='XGSPON Budget Calculator'!$H$39,SUM('XGSPON Budget Calculator'!I$10:I$18),NA())))+'XGSPON Budget Calculator'!$C$7++$I$7*('XGSPON Budget Calculator'!$E$43+'XGSPON Budget Calculator'!$C$33/$I$8)),ABS(IF($I$11&lt;='GPON Budget Calculator'!$D$39,SUM('GPON Budget Calculator'!E$10:E$18),IF($I$11&lt;='GPON Budget Calculator'!$F$39,SUM('GPON Budget Calculator'!G$10:G$18),NA()))+'GPON Budget Calculator'!$C$7+$I$7*('GPON Budget Calculator'!C$43+'GPON Budget Calculator'!$C$33/$I$8))))))),"Select Optics Above")</f>
        <v>22.619603658536583</v>
      </c>
    </row>
    <row r="15" spans="1:9" ht="30" customHeight="1" x14ac:dyDescent="0.25">
      <c r="A15" s="535" t="s">
        <v>3</v>
      </c>
      <c r="B15" s="261">
        <v>64</v>
      </c>
      <c r="C15" s="536"/>
      <c r="D15" s="772" t="s">
        <v>64</v>
      </c>
      <c r="E15" s="773"/>
      <c r="F15" s="629">
        <f>IF(NOT(D6="Select Optics"),IF(I6="Select Class", "Select Class Above",IF(OR(F9="Planned/Placed/No",F10="Yes/No"),"Answer FiberWise Questions", IF(I12="Enter All Information Above",I12,IF(I9="Select # of Optitip","Select # of Optitip Above",IF(OR(D6="CO XGSPON Optics", D6="ROLT XGSPON Optics"),((I10*'XGSPON Budget Calculator'!D42)*-1)+SUM('XGSPON Budget Calculator'!D20:D29)*-1,((I10*'GPON Budget Calculator'!B42)*-1)+SUM('GPON Budget Calculator'!D20:D29)*-1))))),"Select Optics Above")</f>
        <v>2.9637195121951221</v>
      </c>
      <c r="G15" s="778" t="s">
        <v>433</v>
      </c>
      <c r="H15" s="779"/>
      <c r="I15" s="628">
        <f>IF(NOT(D6="Select Optics"),IF(I6="Select Class", "Select Class Above",IF(OR(F9="Yes/No",F10="Yes/No"),"Answer FiberWise Questions", IF(I12="Enter All Information Above",I12,IF(I9="Select # of Optitip","Select # of Optitip Above",IF(OR(D6="CO XGSPON Optics", D6="ROLT XGSPON Optics"),IF(I6="Class N2", 5.5, 3.5),3.25))))),"Select Optics Above")</f>
        <v>5.5</v>
      </c>
    </row>
    <row r="16" spans="1:9" ht="39" customHeight="1" x14ac:dyDescent="0.25">
      <c r="A16" s="537" t="s">
        <v>5</v>
      </c>
      <c r="B16" s="243" t="s">
        <v>6</v>
      </c>
      <c r="C16" s="536"/>
      <c r="D16" s="774" t="s">
        <v>65</v>
      </c>
      <c r="E16" s="775"/>
      <c r="F16" s="630">
        <f>IF(NOT(D6="Select Optics"),IF(I6="Select Class", "Select Class Above",IF(OR(F9="Planned/Placed/No",F10="Yes/No"),"Answer FiberWise Questions", IF(I12="Enter All Information Above",I12,IF(I9="Select # of Optitip","Select # of Optitip Above",IF(OR(D6="CO XGSPON Optics", D6="ROLT XGSPON Optics"),((I10*'XGSPON Budget Calculator'!E42)*-1)+SUM('XGSPON Budget Calculator'!E20:E29)*-1,((I10*'GPON Budget Calculator'!C42)*-1)+SUM('GPON Budget Calculator'!E20:E29)*-1))))),"Select Optics Above")</f>
        <v>2.9518292682926828</v>
      </c>
      <c r="G16" s="735" t="s">
        <v>434</v>
      </c>
      <c r="H16" s="736"/>
      <c r="I16" s="627">
        <f>IF(NOT(D6="Select Optics"),IF(I6="Select Class", "Select Class Above",IF(OR(F9="Yes/No",F10="Yes/No"),"Answer FiberWise Questions", IF(I12="Enter All Information Above",I12,IF(I9="Select # of Optitip","Select # of Optitip Above",IF(OR(D6="CO XGSPON Optics", D6="ROLT XGSPON Optics"),ABS(IF(F9="Planned",SUM('XGSPON Budget Calculator'!E6:E7),SUM('XGSPON Budget Calculator'!E6:E9))),ABS(IF(F9="Planned",SUM('GPON Budget Calculator'!E6:E7),SUM('GPON Budget Calculator'!E6:E9)))))))),"Select Optics Above")</f>
        <v>1.9</v>
      </c>
    </row>
    <row r="17" spans="1:9" ht="26.25" customHeight="1" x14ac:dyDescent="0.25">
      <c r="A17" s="537" t="s">
        <v>66</v>
      </c>
      <c r="B17" s="243" t="s">
        <v>336</v>
      </c>
      <c r="C17" s="536"/>
      <c r="D17" s="774" t="s">
        <v>67</v>
      </c>
      <c r="E17" s="775"/>
      <c r="F17" s="631">
        <f>IF(ISNUMBER(I13),I13+F15,I13)</f>
        <v>25.8302743902439</v>
      </c>
      <c r="G17" s="737" t="s">
        <v>435</v>
      </c>
      <c r="H17" s="738"/>
      <c r="I17" s="636">
        <f>IF(ISNUMBER(I14),I15-I16-I14,I14)</f>
        <v>-19.019603658536582</v>
      </c>
    </row>
    <row r="18" spans="1:9" ht="27" customHeight="1" thickBot="1" x14ac:dyDescent="0.3">
      <c r="A18" s="538" t="s">
        <v>68</v>
      </c>
      <c r="B18" s="244" t="s">
        <v>336</v>
      </c>
      <c r="C18" s="1"/>
      <c r="D18" s="776" t="s">
        <v>69</v>
      </c>
      <c r="E18" s="777"/>
      <c r="F18" s="632">
        <f>IF(ISNUMBER(I14),I14+F16,I14)</f>
        <v>25.571432926829267</v>
      </c>
      <c r="G18" s="753" t="s">
        <v>436</v>
      </c>
      <c r="H18" s="754"/>
      <c r="I18" s="637">
        <f>IF(NOT(D6="Select Optics"),IF(I6="Select Class", "Select Class Above",IF(OR(F9="Yes/No",F10="Yes/No"),"Answer FiberWise Questions", IF(I12="Enter All Information Above",I12,IF(I9="Select # of Optitip","Select # of Optitip Above",IF(OR(D6="CO XGSPON Optics", D6="ROLT XGSPON Optics"),I17-'XGSPON Budget Calculator'!E16-IF(I12="1x64",'XGSPON Budget Calculator'!E17,IF(I12="1x32",'XGSPON Budget Calculator'!G17,IF(I12="1x16",'XGSPON Budget Calculator'!I17,"Error"))),I17-'GPON Budget Calculator'!E16-IF(I12="1x32",'GPON Budget Calculator'!E17,IF(I12="1x16",'GPON Budget Calculator'!G17,"Error"))))))),"Select Optics Above")</f>
        <v>1.7303963414634183</v>
      </c>
    </row>
    <row r="19" spans="1:9" ht="15.75" thickBot="1" x14ac:dyDescent="0.3">
      <c r="A19" s="539"/>
      <c r="B19" s="1"/>
      <c r="C19" s="1"/>
      <c r="D19" s="1"/>
      <c r="E19" s="37"/>
      <c r="F19" s="37"/>
      <c r="G19" s="37"/>
      <c r="H19" s="37"/>
      <c r="I19" s="37"/>
    </row>
    <row r="20" spans="1:9" ht="21.75" thickBot="1" x14ac:dyDescent="0.3">
      <c r="A20" s="757" t="s">
        <v>70</v>
      </c>
      <c r="B20" s="758"/>
      <c r="C20" s="758"/>
      <c r="D20" s="758"/>
      <c r="E20" s="758"/>
      <c r="F20" s="758"/>
      <c r="G20" s="758"/>
      <c r="H20" s="758"/>
      <c r="I20" s="759"/>
    </row>
    <row r="21" spans="1:9" ht="45.75" thickBot="1" x14ac:dyDescent="0.3">
      <c r="A21" s="540"/>
      <c r="B21" s="562" t="s">
        <v>386</v>
      </c>
      <c r="C21" s="542" t="s">
        <v>385</v>
      </c>
      <c r="D21" s="541" t="s">
        <v>424</v>
      </c>
      <c r="E21" s="542" t="s">
        <v>10</v>
      </c>
      <c r="F21" s="687" t="s">
        <v>71</v>
      </c>
      <c r="G21" s="688"/>
      <c r="H21" s="688"/>
      <c r="I21" s="689"/>
    </row>
    <row r="22" spans="1:9" ht="17.25" x14ac:dyDescent="0.25">
      <c r="A22" s="543" t="s">
        <v>72</v>
      </c>
      <c r="B22" s="35">
        <v>0</v>
      </c>
      <c r="C22" s="35">
        <v>0</v>
      </c>
      <c r="D22" s="39"/>
      <c r="E22" s="544">
        <f>ROUNDUP((B22+C22)*1.5,0)</f>
        <v>0</v>
      </c>
      <c r="F22" s="690"/>
      <c r="G22" s="691"/>
      <c r="H22" s="692"/>
      <c r="I22" s="693"/>
    </row>
    <row r="23" spans="1:9" ht="18" thickBot="1" x14ac:dyDescent="0.3">
      <c r="A23" s="545" t="s">
        <v>73</v>
      </c>
      <c r="B23" s="30">
        <v>0</v>
      </c>
      <c r="C23" s="30">
        <v>0</v>
      </c>
      <c r="D23" s="31"/>
      <c r="E23" s="546">
        <f>ROUNDUP((B23+C23)*1.25,0)</f>
        <v>0</v>
      </c>
      <c r="F23" s="683"/>
      <c r="G23" s="684"/>
      <c r="H23" s="685"/>
      <c r="I23" s="686"/>
    </row>
    <row r="24" spans="1:9" ht="15.75" thickBot="1" x14ac:dyDescent="0.3">
      <c r="A24" s="746"/>
      <c r="B24" s="746"/>
      <c r="C24" s="746"/>
      <c r="D24" s="746"/>
      <c r="E24" s="746"/>
      <c r="F24" s="37"/>
      <c r="G24" s="37"/>
      <c r="H24" s="37"/>
      <c r="I24" s="37"/>
    </row>
    <row r="25" spans="1:9" ht="21.75" thickBot="1" x14ac:dyDescent="0.3">
      <c r="A25" s="703" t="s">
        <v>74</v>
      </c>
      <c r="B25" s="704"/>
      <c r="C25" s="704"/>
      <c r="D25" s="704"/>
      <c r="E25" s="704"/>
      <c r="F25" s="704"/>
      <c r="G25" s="704"/>
      <c r="H25" s="704"/>
      <c r="I25" s="705"/>
    </row>
    <row r="26" spans="1:9" ht="60.75" thickBot="1" x14ac:dyDescent="0.3">
      <c r="A26" s="547"/>
      <c r="B26" s="548" t="s">
        <v>75</v>
      </c>
      <c r="C26" s="549" t="s">
        <v>76</v>
      </c>
      <c r="D26" s="550" t="s">
        <v>425</v>
      </c>
      <c r="E26" s="549" t="s">
        <v>10</v>
      </c>
      <c r="F26" s="687" t="s">
        <v>71</v>
      </c>
      <c r="G26" s="688"/>
      <c r="H26" s="688"/>
      <c r="I26" s="689"/>
    </row>
    <row r="27" spans="1:9" ht="17.25" x14ac:dyDescent="0.25">
      <c r="A27" s="543" t="s">
        <v>77</v>
      </c>
      <c r="B27" s="519">
        <v>429</v>
      </c>
      <c r="C27" s="35">
        <v>0</v>
      </c>
      <c r="D27" s="39">
        <v>0.53</v>
      </c>
      <c r="E27" s="551">
        <f>ROUNDUP((C27+B27),0)</f>
        <v>429</v>
      </c>
      <c r="F27" s="742"/>
      <c r="G27" s="743"/>
      <c r="H27" s="743"/>
      <c r="I27" s="744"/>
    </row>
    <row r="28" spans="1:9" ht="18" thickBot="1" x14ac:dyDescent="0.3">
      <c r="A28" s="545" t="s">
        <v>78</v>
      </c>
      <c r="B28" s="520">
        <v>0</v>
      </c>
      <c r="C28" s="30">
        <v>0</v>
      </c>
      <c r="D28" s="31">
        <v>0.53</v>
      </c>
      <c r="E28" s="27">
        <f>ROUNDUP((C28+B28),0)</f>
        <v>0</v>
      </c>
      <c r="F28" s="747"/>
      <c r="G28" s="748"/>
      <c r="H28" s="748"/>
      <c r="I28" s="749"/>
    </row>
    <row r="29" spans="1:9" ht="15.75" thickBot="1" x14ac:dyDescent="0.3">
      <c r="A29" s="745"/>
      <c r="B29" s="745"/>
      <c r="C29" s="745"/>
      <c r="D29" s="745"/>
      <c r="E29" s="745"/>
      <c r="F29" s="37"/>
      <c r="G29" s="37"/>
      <c r="H29" s="37"/>
      <c r="I29" s="37"/>
    </row>
    <row r="30" spans="1:9" ht="21.75" thickBot="1" x14ac:dyDescent="0.3">
      <c r="A30" s="703" t="s">
        <v>79</v>
      </c>
      <c r="B30" s="704"/>
      <c r="C30" s="704"/>
      <c r="D30" s="704"/>
      <c r="E30" s="704"/>
      <c r="F30" s="704"/>
      <c r="G30" s="704"/>
      <c r="H30" s="704"/>
      <c r="I30" s="705"/>
    </row>
    <row r="31" spans="1:9" ht="45.75" thickBot="1" x14ac:dyDescent="0.3">
      <c r="A31" s="552"/>
      <c r="B31" s="542" t="s">
        <v>80</v>
      </c>
      <c r="C31" s="541" t="s">
        <v>371</v>
      </c>
      <c r="D31" s="550" t="s">
        <v>426</v>
      </c>
      <c r="E31" s="542" t="s">
        <v>10</v>
      </c>
      <c r="F31" s="687" t="s">
        <v>71</v>
      </c>
      <c r="G31" s="688"/>
      <c r="H31" s="688"/>
      <c r="I31" s="689"/>
    </row>
    <row r="32" spans="1:9" ht="17.25" x14ac:dyDescent="0.25">
      <c r="A32" s="543" t="s">
        <v>81</v>
      </c>
      <c r="B32" s="730"/>
      <c r="C32" s="35">
        <v>0</v>
      </c>
      <c r="D32" s="739">
        <v>0.53</v>
      </c>
      <c r="E32" s="544">
        <f>6*C32</f>
        <v>0</v>
      </c>
      <c r="F32" s="690"/>
      <c r="G32" s="691"/>
      <c r="H32" s="692"/>
      <c r="I32" s="693"/>
    </row>
    <row r="33" spans="1:11" ht="18" thickBot="1" x14ac:dyDescent="0.3">
      <c r="A33" s="553" t="s">
        <v>82</v>
      </c>
      <c r="B33" s="647"/>
      <c r="C33" s="29">
        <v>0</v>
      </c>
      <c r="D33" s="740"/>
      <c r="E33" s="554">
        <f>(C33*2)+ EVEN(C33*$G$53)</f>
        <v>0</v>
      </c>
      <c r="F33" s="679"/>
      <c r="G33" s="680"/>
      <c r="H33" s="681"/>
      <c r="I33" s="682"/>
    </row>
    <row r="34" spans="1:11" ht="34.5" x14ac:dyDescent="0.25">
      <c r="A34" s="553" t="s">
        <v>83</v>
      </c>
      <c r="B34" s="35">
        <v>0</v>
      </c>
      <c r="C34" s="22">
        <f>B34*3</f>
        <v>0</v>
      </c>
      <c r="D34" s="740"/>
      <c r="E34" s="554">
        <f t="shared" ref="E34:E36" si="0">(C34*2)+ EVEN(C34*$G$53)</f>
        <v>0</v>
      </c>
      <c r="F34" s="679"/>
      <c r="G34" s="680"/>
      <c r="H34" s="681"/>
      <c r="I34" s="682"/>
    </row>
    <row r="35" spans="1:11" ht="34.5" x14ac:dyDescent="0.25">
      <c r="A35" s="553" t="s">
        <v>84</v>
      </c>
      <c r="B35" s="521">
        <v>0</v>
      </c>
      <c r="C35" s="22">
        <f>B35*6</f>
        <v>0</v>
      </c>
      <c r="D35" s="740"/>
      <c r="E35" s="554">
        <f t="shared" si="0"/>
        <v>0</v>
      </c>
      <c r="F35" s="679"/>
      <c r="G35" s="680"/>
      <c r="H35" s="681"/>
      <c r="I35" s="682"/>
    </row>
    <row r="36" spans="1:11" ht="35.25" thickBot="1" x14ac:dyDescent="0.3">
      <c r="A36" s="553" t="s">
        <v>85</v>
      </c>
      <c r="B36" s="38">
        <v>0</v>
      </c>
      <c r="C36" s="22">
        <f>B36*12</f>
        <v>0</v>
      </c>
      <c r="D36" s="740"/>
      <c r="E36" s="554">
        <f t="shared" si="0"/>
        <v>0</v>
      </c>
      <c r="F36" s="679"/>
      <c r="G36" s="680"/>
      <c r="H36" s="681"/>
      <c r="I36" s="682"/>
    </row>
    <row r="37" spans="1:11" ht="15.75" thickBot="1" x14ac:dyDescent="0.3">
      <c r="A37" s="545" t="s">
        <v>86</v>
      </c>
      <c r="B37" s="555"/>
      <c r="C37" s="30">
        <v>0</v>
      </c>
      <c r="D37" s="741"/>
      <c r="E37" s="546">
        <f>C37*4</f>
        <v>0</v>
      </c>
      <c r="F37" s="683"/>
      <c r="G37" s="684"/>
      <c r="H37" s="685"/>
      <c r="I37" s="686"/>
    </row>
    <row r="38" spans="1:11" ht="15.75" thickBot="1" x14ac:dyDescent="0.3">
      <c r="A38" s="556"/>
      <c r="B38" s="37"/>
      <c r="C38" s="557"/>
      <c r="D38" s="558"/>
      <c r="E38" s="1"/>
      <c r="F38" s="559"/>
      <c r="G38" s="559"/>
      <c r="H38" s="559"/>
      <c r="I38" s="559"/>
    </row>
    <row r="39" spans="1:11" ht="21.75" thickBot="1" x14ac:dyDescent="0.3">
      <c r="A39" s="703" t="s">
        <v>369</v>
      </c>
      <c r="B39" s="704"/>
      <c r="C39" s="704"/>
      <c r="D39" s="704"/>
      <c r="E39" s="704"/>
      <c r="F39" s="704"/>
      <c r="G39" s="704"/>
      <c r="H39" s="704"/>
      <c r="I39" s="705"/>
    </row>
    <row r="40" spans="1:11" ht="30.75" thickBot="1" x14ac:dyDescent="0.3">
      <c r="A40" s="560"/>
      <c r="B40" s="561" t="s">
        <v>374</v>
      </c>
      <c r="C40" s="562" t="s">
        <v>373</v>
      </c>
      <c r="D40" s="561" t="s">
        <v>372</v>
      </c>
      <c r="E40" s="542" t="s">
        <v>10</v>
      </c>
      <c r="F40" s="687" t="s">
        <v>71</v>
      </c>
      <c r="G40" s="688"/>
      <c r="H40" s="688"/>
      <c r="I40" s="689"/>
    </row>
    <row r="41" spans="1:11" ht="17.25" x14ac:dyDescent="0.25">
      <c r="A41" s="563" t="s">
        <v>378</v>
      </c>
      <c r="B41" s="29">
        <v>0</v>
      </c>
      <c r="C41" s="521">
        <v>0</v>
      </c>
      <c r="D41" s="521">
        <v>0</v>
      </c>
      <c r="E41" s="564">
        <f>(B41+C41*12+D41*24)</f>
        <v>0</v>
      </c>
      <c r="F41" s="690"/>
      <c r="G41" s="691"/>
      <c r="H41" s="692"/>
      <c r="I41" s="693"/>
    </row>
    <row r="42" spans="1:11" ht="18" thickBot="1" x14ac:dyDescent="0.3">
      <c r="A42" s="545" t="s">
        <v>87</v>
      </c>
      <c r="B42" s="565"/>
      <c r="C42" s="30">
        <v>0</v>
      </c>
      <c r="D42" s="566"/>
      <c r="E42" s="567">
        <f>C42*8</f>
        <v>0</v>
      </c>
      <c r="F42" s="683"/>
      <c r="G42" s="684"/>
      <c r="H42" s="685"/>
      <c r="I42" s="686"/>
    </row>
    <row r="43" spans="1:11" ht="15.75" thickBot="1" x14ac:dyDescent="0.3">
      <c r="A43" s="37"/>
      <c r="B43" s="1"/>
      <c r="C43" s="1"/>
      <c r="F43" s="37"/>
      <c r="G43" s="37"/>
      <c r="H43" s="37"/>
      <c r="I43" s="37"/>
    </row>
    <row r="44" spans="1:11" ht="21.75" thickBot="1" x14ac:dyDescent="0.3">
      <c r="A44" s="703" t="s">
        <v>88</v>
      </c>
      <c r="B44" s="704"/>
      <c r="C44" s="704"/>
      <c r="D44" s="704"/>
      <c r="E44" s="704"/>
      <c r="F44" s="704"/>
      <c r="G44" s="704"/>
      <c r="H44" s="704"/>
      <c r="I44" s="705"/>
      <c r="K44" t="s">
        <v>370</v>
      </c>
    </row>
    <row r="45" spans="1:11" ht="30.75" thickBot="1" x14ac:dyDescent="0.3">
      <c r="A45" s="568"/>
      <c r="B45" s="548" t="s">
        <v>89</v>
      </c>
      <c r="C45" s="562" t="s">
        <v>90</v>
      </c>
      <c r="D45" s="549"/>
      <c r="E45" s="542" t="s">
        <v>10</v>
      </c>
      <c r="F45" s="687" t="s">
        <v>71</v>
      </c>
      <c r="G45" s="688"/>
      <c r="H45" s="688"/>
      <c r="I45" s="689"/>
    </row>
    <row r="46" spans="1:11" ht="21.75" thickBot="1" x14ac:dyDescent="0.3">
      <c r="A46" s="532" t="s">
        <v>91</v>
      </c>
      <c r="B46" s="34">
        <v>0</v>
      </c>
      <c r="C46" s="32">
        <v>0</v>
      </c>
      <c r="D46" s="569"/>
      <c r="E46" s="17">
        <f>B46</f>
        <v>0</v>
      </c>
      <c r="F46" s="706"/>
      <c r="G46" s="707"/>
      <c r="H46" s="708"/>
      <c r="I46" s="709"/>
    </row>
    <row r="47" spans="1:11" ht="18" thickBot="1" x14ac:dyDescent="0.3">
      <c r="A47" s="37"/>
      <c r="B47" s="1"/>
      <c r="C47" s="1"/>
      <c r="D47" s="16" t="s">
        <v>375</v>
      </c>
      <c r="E47" s="17">
        <f>ROUNDUP(SUM(E22:E46)*1.18,0)</f>
        <v>507</v>
      </c>
      <c r="F47" s="37"/>
      <c r="G47" s="37"/>
      <c r="H47" s="37"/>
      <c r="I47" s="37"/>
    </row>
    <row r="48" spans="1:11" ht="15.75" thickBot="1" x14ac:dyDescent="0.3">
      <c r="A48" s="37"/>
      <c r="B48" s="1"/>
      <c r="F48" s="37"/>
      <c r="G48" s="37"/>
      <c r="H48" s="37"/>
      <c r="I48" s="37"/>
    </row>
    <row r="49" spans="1:9" ht="15.75" thickBot="1" x14ac:dyDescent="0.3">
      <c r="A49" s="37"/>
      <c r="B49" s="1"/>
      <c r="C49" s="1"/>
      <c r="D49" s="570" t="s">
        <v>376</v>
      </c>
      <c r="E49" s="571">
        <v>0</v>
      </c>
      <c r="F49" s="37"/>
      <c r="G49" s="37"/>
      <c r="H49" s="37"/>
      <c r="I49" s="37"/>
    </row>
    <row r="50" spans="1:9" ht="15.75" thickBot="1" x14ac:dyDescent="0.3">
      <c r="A50" s="37"/>
      <c r="B50" s="1"/>
      <c r="C50" s="1"/>
      <c r="D50" s="16" t="s">
        <v>462</v>
      </c>
      <c r="E50" s="18">
        <v>4</v>
      </c>
      <c r="F50" s="37"/>
      <c r="G50" s="37"/>
      <c r="H50" s="37"/>
      <c r="I50" s="37"/>
    </row>
    <row r="51" spans="1:9" ht="15.75" thickBot="1" x14ac:dyDescent="0.3">
      <c r="A51" s="37"/>
      <c r="B51" s="1"/>
      <c r="C51" s="1"/>
      <c r="D51" s="570" t="s">
        <v>463</v>
      </c>
      <c r="E51" s="571">
        <v>7</v>
      </c>
      <c r="F51" s="37"/>
      <c r="G51" s="37"/>
      <c r="H51" s="37"/>
      <c r="I51" s="37"/>
    </row>
    <row r="52" spans="1:9" ht="33" thickBot="1" x14ac:dyDescent="0.3">
      <c r="A52" s="37"/>
      <c r="B52" s="1"/>
      <c r="C52" s="1"/>
      <c r="D52" s="16" t="s">
        <v>25</v>
      </c>
      <c r="E52" s="18">
        <v>7</v>
      </c>
      <c r="F52" s="37"/>
      <c r="G52" s="572" t="s">
        <v>92</v>
      </c>
      <c r="H52" s="710" t="s">
        <v>93</v>
      </c>
      <c r="I52" s="710"/>
    </row>
    <row r="53" spans="1:9" ht="18" thickBot="1" x14ac:dyDescent="0.3">
      <c r="A53" s="37"/>
      <c r="B53" s="1"/>
      <c r="C53" s="1"/>
      <c r="D53" s="16" t="s">
        <v>377</v>
      </c>
      <c r="E53" s="28">
        <v>0</v>
      </c>
      <c r="F53" s="37"/>
      <c r="G53" s="33">
        <v>0.25</v>
      </c>
      <c r="H53" s="711"/>
      <c r="I53" s="712"/>
    </row>
    <row r="54" spans="1:9" ht="15.75" thickBot="1" x14ac:dyDescent="0.3">
      <c r="A54" s="37"/>
      <c r="B54" s="1"/>
      <c r="C54" s="1"/>
      <c r="D54" s="16" t="s">
        <v>27</v>
      </c>
      <c r="E54" s="19">
        <v>576</v>
      </c>
      <c r="F54" s="37" t="s">
        <v>448</v>
      </c>
      <c r="G54" s="37"/>
      <c r="H54" s="37"/>
      <c r="I54" s="37"/>
    </row>
    <row r="55" spans="1:9" ht="15.75" thickBot="1" x14ac:dyDescent="0.3">
      <c r="A55" s="37"/>
      <c r="B55" s="1"/>
      <c r="C55" s="1"/>
      <c r="D55" s="16" t="s">
        <v>94</v>
      </c>
      <c r="E55" s="19" t="s">
        <v>461</v>
      </c>
      <c r="F55" s="37"/>
      <c r="G55" s="37"/>
      <c r="H55" s="37"/>
      <c r="I55" s="37"/>
    </row>
    <row r="56" spans="1:9" ht="15.75" thickBot="1" x14ac:dyDescent="0.3">
      <c r="A56" s="37"/>
      <c r="B56" s="1"/>
      <c r="C56" s="1"/>
      <c r="D56" s="16" t="s">
        <v>28</v>
      </c>
      <c r="E56" s="18">
        <f>IF(ISNUMBER(E52),E53+E52,E52)</f>
        <v>7</v>
      </c>
      <c r="F56" s="37"/>
      <c r="G56" s="37"/>
      <c r="H56" s="37"/>
      <c r="I56" s="37"/>
    </row>
    <row r="57" spans="1:9" x14ac:dyDescent="0.25">
      <c r="A57" s="37"/>
      <c r="B57" s="1"/>
      <c r="C57" s="1"/>
      <c r="E57" s="559"/>
      <c r="F57" s="37"/>
      <c r="G57" s="37"/>
      <c r="H57" s="37"/>
      <c r="I57" s="37"/>
    </row>
    <row r="58" spans="1:9" x14ac:dyDescent="0.25">
      <c r="A58" s="713" t="s">
        <v>95</v>
      </c>
      <c r="B58" s="713"/>
      <c r="C58" s="713"/>
      <c r="D58" s="713"/>
      <c r="E58" s="713"/>
      <c r="F58" s="713"/>
      <c r="G58" s="713"/>
      <c r="H58" s="713"/>
      <c r="I58" s="713"/>
    </row>
    <row r="59" spans="1:9" x14ac:dyDescent="0.25">
      <c r="A59" s="752" t="s">
        <v>427</v>
      </c>
      <c r="B59" s="752"/>
      <c r="C59" s="752"/>
      <c r="D59" s="752"/>
      <c r="E59" s="752"/>
      <c r="F59" s="752"/>
      <c r="G59" s="752"/>
      <c r="H59" s="752"/>
      <c r="I59" s="752"/>
    </row>
    <row r="60" spans="1:9" ht="15" customHeight="1" x14ac:dyDescent="0.25">
      <c r="A60" s="714" t="s">
        <v>96</v>
      </c>
      <c r="B60" s="714"/>
      <c r="C60" s="714"/>
      <c r="D60" s="714"/>
      <c r="E60" s="714"/>
      <c r="F60" s="714"/>
      <c r="G60" s="714"/>
      <c r="H60" s="714"/>
      <c r="I60" s="714"/>
    </row>
    <row r="61" spans="1:9" x14ac:dyDescent="0.25">
      <c r="A61" s="713" t="s">
        <v>379</v>
      </c>
      <c r="B61" s="713"/>
      <c r="C61" s="713"/>
      <c r="D61" s="713"/>
      <c r="E61" s="713"/>
      <c r="F61" s="713"/>
      <c r="G61" s="713"/>
      <c r="H61" s="713"/>
      <c r="I61" s="713"/>
    </row>
    <row r="62" spans="1:9" ht="15" customHeight="1" x14ac:dyDescent="0.25">
      <c r="A62" s="714" t="s">
        <v>97</v>
      </c>
      <c r="B62" s="714"/>
      <c r="C62" s="714"/>
      <c r="D62" s="714"/>
      <c r="E62" s="714"/>
      <c r="F62" s="714"/>
      <c r="G62" s="714"/>
      <c r="H62" s="714"/>
      <c r="I62" s="714"/>
    </row>
    <row r="63" spans="1:9" ht="15.75" thickBot="1" x14ac:dyDescent="0.3">
      <c r="A63" s="713" t="s">
        <v>98</v>
      </c>
      <c r="B63" s="713"/>
      <c r="C63" s="713"/>
      <c r="D63" s="713"/>
      <c r="E63" s="713"/>
      <c r="F63" s="713"/>
      <c r="G63" s="713"/>
      <c r="H63" s="713"/>
      <c r="I63" s="713"/>
    </row>
    <row r="64" spans="1:9" x14ac:dyDescent="0.25">
      <c r="A64" s="694" t="s">
        <v>99</v>
      </c>
      <c r="B64" s="695"/>
      <c r="C64" s="695"/>
      <c r="D64" s="695"/>
      <c r="E64" s="695"/>
      <c r="F64" s="695"/>
      <c r="G64" s="695"/>
      <c r="H64" s="695"/>
      <c r="I64" s="696"/>
    </row>
    <row r="65" spans="1:9" x14ac:dyDescent="0.25">
      <c r="A65" s="697"/>
      <c r="B65" s="698"/>
      <c r="C65" s="698"/>
      <c r="D65" s="698"/>
      <c r="E65" s="698"/>
      <c r="F65" s="698"/>
      <c r="G65" s="698"/>
      <c r="H65" s="698"/>
      <c r="I65" s="699"/>
    </row>
    <row r="66" spans="1:9" x14ac:dyDescent="0.25">
      <c r="A66" s="697"/>
      <c r="B66" s="698"/>
      <c r="C66" s="698"/>
      <c r="D66" s="698"/>
      <c r="E66" s="698"/>
      <c r="F66" s="698"/>
      <c r="G66" s="698"/>
      <c r="H66" s="698"/>
      <c r="I66" s="699"/>
    </row>
    <row r="67" spans="1:9" x14ac:dyDescent="0.25">
      <c r="A67" s="697"/>
      <c r="B67" s="698"/>
      <c r="C67" s="698"/>
      <c r="D67" s="698"/>
      <c r="E67" s="698"/>
      <c r="F67" s="698"/>
      <c r="G67" s="698"/>
      <c r="H67" s="698"/>
      <c r="I67" s="699"/>
    </row>
    <row r="68" spans="1:9" ht="15.75" thickBot="1" x14ac:dyDescent="0.3">
      <c r="A68" s="700"/>
      <c r="B68" s="701"/>
      <c r="C68" s="701"/>
      <c r="D68" s="701"/>
      <c r="E68" s="701"/>
      <c r="F68" s="701"/>
      <c r="G68" s="701"/>
      <c r="H68" s="701"/>
      <c r="I68" s="702"/>
    </row>
    <row r="69" spans="1:9" x14ac:dyDescent="0.25">
      <c r="A69" s="573"/>
      <c r="B69" s="573"/>
      <c r="C69" s="573"/>
      <c r="D69" s="573"/>
      <c r="E69" s="573"/>
      <c r="F69" s="573"/>
      <c r="G69" s="573"/>
      <c r="H69" s="573"/>
      <c r="I69" s="573"/>
    </row>
    <row r="70" spans="1:9" x14ac:dyDescent="0.25">
      <c r="A70" s="573"/>
      <c r="B70" s="573"/>
      <c r="C70" s="573"/>
      <c r="D70" s="573"/>
      <c r="E70" s="573"/>
      <c r="F70" s="573"/>
      <c r="G70" s="573"/>
      <c r="H70" s="573"/>
      <c r="I70" s="573"/>
    </row>
    <row r="71" spans="1:9" x14ac:dyDescent="0.25">
      <c r="A71" s="573"/>
      <c r="B71" s="573"/>
      <c r="C71" s="573"/>
      <c r="D71" s="573"/>
      <c r="E71" s="573"/>
      <c r="F71" s="573"/>
      <c r="G71" s="573"/>
      <c r="H71" s="573"/>
      <c r="I71" s="573"/>
    </row>
    <row r="72" spans="1:9" x14ac:dyDescent="0.25">
      <c r="A72" s="573"/>
      <c r="B72" s="573"/>
      <c r="C72" s="573"/>
      <c r="D72" s="573"/>
      <c r="E72" s="573"/>
      <c r="F72" s="573"/>
      <c r="G72" s="573"/>
      <c r="H72" s="573"/>
      <c r="I72" s="573"/>
    </row>
    <row r="73" spans="1:9" x14ac:dyDescent="0.25">
      <c r="A73" s="573"/>
      <c r="B73" s="573"/>
      <c r="C73" s="573"/>
      <c r="D73" s="573"/>
      <c r="E73" s="573"/>
      <c r="F73" s="573"/>
      <c r="G73" s="573"/>
      <c r="H73" s="573"/>
      <c r="I73" s="573"/>
    </row>
    <row r="74" spans="1:9" x14ac:dyDescent="0.25">
      <c r="A74" s="573"/>
      <c r="B74" s="573"/>
      <c r="C74" s="573"/>
      <c r="D74" s="573"/>
      <c r="E74" s="573"/>
      <c r="F74" s="573"/>
      <c r="G74" s="573"/>
      <c r="H74" s="573"/>
      <c r="I74" s="573"/>
    </row>
    <row r="75" spans="1:9" x14ac:dyDescent="0.25">
      <c r="A75" s="573"/>
      <c r="B75" s="573"/>
      <c r="C75" s="573"/>
      <c r="D75" s="573"/>
      <c r="E75" s="573"/>
      <c r="F75" s="573"/>
      <c r="G75" s="573"/>
      <c r="H75" s="573"/>
      <c r="I75" s="573"/>
    </row>
    <row r="76" spans="1:9" x14ac:dyDescent="0.25">
      <c r="A76" s="573"/>
      <c r="B76" s="573"/>
      <c r="C76" s="573"/>
      <c r="D76" s="573"/>
      <c r="E76" s="573"/>
      <c r="F76" s="573"/>
      <c r="G76" s="573"/>
      <c r="H76" s="573"/>
      <c r="I76" s="573"/>
    </row>
    <row r="77" spans="1:9" x14ac:dyDescent="0.25">
      <c r="A77" s="573"/>
      <c r="B77" s="573"/>
      <c r="C77" s="573"/>
      <c r="D77" s="573"/>
      <c r="E77" s="573"/>
      <c r="F77" s="573"/>
      <c r="G77" s="573"/>
      <c r="H77" s="573"/>
      <c r="I77" s="573"/>
    </row>
    <row r="78" spans="1:9" x14ac:dyDescent="0.25">
      <c r="A78" s="573"/>
      <c r="B78" s="573"/>
      <c r="C78" s="573"/>
      <c r="D78" s="573"/>
      <c r="E78" s="573"/>
      <c r="F78" s="573"/>
      <c r="G78" s="573"/>
      <c r="H78" s="573"/>
      <c r="I78" s="573"/>
    </row>
    <row r="79" spans="1:9" x14ac:dyDescent="0.25">
      <c r="A79" s="573"/>
      <c r="B79" s="573"/>
      <c r="C79" s="573"/>
      <c r="D79" s="573"/>
      <c r="E79" s="573"/>
      <c r="F79" s="573"/>
      <c r="G79" s="573"/>
      <c r="H79" s="573"/>
      <c r="I79" s="573"/>
    </row>
    <row r="80" spans="1:9" x14ac:dyDescent="0.25">
      <c r="A80" s="573"/>
      <c r="B80" s="573"/>
      <c r="C80" s="573"/>
      <c r="D80" s="573"/>
      <c r="E80" s="573"/>
      <c r="F80" s="573"/>
      <c r="G80" s="573"/>
      <c r="H80" s="573"/>
      <c r="I80" s="573"/>
    </row>
    <row r="81" spans="1:9" x14ac:dyDescent="0.25">
      <c r="A81" s="573"/>
      <c r="B81" s="573"/>
      <c r="C81" s="573"/>
      <c r="D81" s="573"/>
      <c r="E81" s="573"/>
      <c r="F81" s="573"/>
      <c r="G81" s="573"/>
      <c r="H81" s="573"/>
      <c r="I81" s="573"/>
    </row>
    <row r="82" spans="1:9" x14ac:dyDescent="0.25">
      <c r="A82" s="573"/>
      <c r="B82" s="573"/>
      <c r="C82" s="573"/>
      <c r="D82" s="573"/>
      <c r="E82" s="573"/>
      <c r="F82" s="573"/>
      <c r="G82" s="573"/>
      <c r="H82" s="573"/>
      <c r="I82" s="573"/>
    </row>
    <row r="83" spans="1:9" x14ac:dyDescent="0.25">
      <c r="A83" s="573"/>
      <c r="B83" s="573"/>
      <c r="C83" s="573"/>
      <c r="D83" s="573"/>
      <c r="E83" s="573"/>
      <c r="F83" s="573"/>
      <c r="G83" s="573"/>
      <c r="H83" s="573"/>
      <c r="I83" s="573"/>
    </row>
    <row r="84" spans="1:9" x14ac:dyDescent="0.25">
      <c r="A84" s="573"/>
      <c r="B84" s="573"/>
      <c r="C84" s="573"/>
      <c r="D84" s="573"/>
      <c r="E84" s="573"/>
      <c r="F84" s="573"/>
      <c r="G84" s="573"/>
      <c r="H84" s="573"/>
      <c r="I84" s="573"/>
    </row>
    <row r="85" spans="1:9" x14ac:dyDescent="0.25">
      <c r="A85" s="573"/>
      <c r="B85" s="573"/>
      <c r="C85" s="573"/>
      <c r="D85" s="573"/>
      <c r="E85" s="573"/>
      <c r="F85" s="573"/>
      <c r="G85" s="573"/>
      <c r="H85" s="573"/>
      <c r="I85" s="573"/>
    </row>
    <row r="86" spans="1:9" x14ac:dyDescent="0.25">
      <c r="A86" s="573"/>
      <c r="B86" s="573"/>
      <c r="C86" s="573"/>
      <c r="D86" s="573"/>
      <c r="E86" s="573"/>
      <c r="F86" s="573"/>
      <c r="G86" s="573"/>
      <c r="H86" s="573"/>
      <c r="I86" s="573"/>
    </row>
    <row r="87" spans="1:9" x14ac:dyDescent="0.25">
      <c r="A87" s="573"/>
      <c r="B87" s="573"/>
      <c r="C87" s="573"/>
      <c r="D87" s="573"/>
      <c r="E87" s="573"/>
      <c r="F87" s="573"/>
      <c r="G87" s="573"/>
      <c r="H87" s="573"/>
      <c r="I87" s="573"/>
    </row>
    <row r="88" spans="1:9" x14ac:dyDescent="0.25">
      <c r="A88" s="573"/>
      <c r="B88" s="573"/>
      <c r="C88" s="573"/>
      <c r="D88" s="573"/>
      <c r="E88" s="573"/>
      <c r="F88" s="573"/>
      <c r="G88" s="573"/>
      <c r="H88" s="573"/>
      <c r="I88" s="573"/>
    </row>
    <row r="89" spans="1:9" x14ac:dyDescent="0.25">
      <c r="A89" s="573"/>
      <c r="B89" s="573"/>
      <c r="C89" s="573"/>
      <c r="D89" s="573"/>
      <c r="E89" s="573"/>
      <c r="F89" s="573"/>
      <c r="G89" s="573"/>
      <c r="H89" s="573"/>
      <c r="I89" s="573"/>
    </row>
    <row r="90" spans="1:9" x14ac:dyDescent="0.25">
      <c r="A90" s="573"/>
      <c r="B90" s="573"/>
      <c r="C90" s="573"/>
      <c r="D90" s="573"/>
      <c r="E90" s="573"/>
      <c r="F90" s="573"/>
      <c r="G90" s="573"/>
      <c r="H90" s="573"/>
      <c r="I90" s="573"/>
    </row>
    <row r="91" spans="1:9" x14ac:dyDescent="0.25">
      <c r="A91" s="573"/>
      <c r="B91" s="573"/>
      <c r="C91" s="573"/>
      <c r="D91" s="573"/>
      <c r="E91" s="573"/>
      <c r="F91" s="573"/>
      <c r="G91" s="573"/>
      <c r="H91" s="573"/>
      <c r="I91" s="573"/>
    </row>
    <row r="92" spans="1:9" x14ac:dyDescent="0.25">
      <c r="A92" s="573"/>
      <c r="B92" s="573"/>
      <c r="C92" s="573"/>
      <c r="D92" s="573"/>
      <c r="E92" s="573"/>
      <c r="F92" s="573"/>
      <c r="G92" s="573"/>
      <c r="H92" s="573"/>
      <c r="I92" s="573"/>
    </row>
    <row r="93" spans="1:9" x14ac:dyDescent="0.25">
      <c r="A93" s="573"/>
      <c r="B93" s="573"/>
      <c r="C93" s="573"/>
      <c r="D93" s="573"/>
      <c r="E93" s="573"/>
      <c r="F93" s="573"/>
      <c r="G93" s="573"/>
      <c r="H93" s="573"/>
      <c r="I93" s="573"/>
    </row>
    <row r="94" spans="1:9" x14ac:dyDescent="0.25">
      <c r="A94" s="573"/>
      <c r="B94" s="573"/>
      <c r="C94" s="573"/>
      <c r="D94" s="573"/>
      <c r="E94" s="573"/>
      <c r="F94" s="573"/>
      <c r="G94" s="573"/>
      <c r="H94" s="573"/>
      <c r="I94" s="573"/>
    </row>
    <row r="95" spans="1:9" x14ac:dyDescent="0.25">
      <c r="A95" s="573"/>
      <c r="B95" s="573"/>
      <c r="C95" s="573"/>
      <c r="D95" s="573"/>
      <c r="E95" s="573"/>
      <c r="F95" s="573"/>
      <c r="G95" s="573"/>
      <c r="H95" s="573"/>
      <c r="I95" s="573"/>
    </row>
    <row r="96" spans="1:9" x14ac:dyDescent="0.25">
      <c r="A96" s="573"/>
      <c r="B96" s="573"/>
      <c r="C96" s="573"/>
      <c r="D96" s="573"/>
      <c r="E96" s="573"/>
      <c r="F96" s="573"/>
      <c r="G96" s="573"/>
      <c r="H96" s="573"/>
      <c r="I96" s="573"/>
    </row>
    <row r="97" spans="1:9" x14ac:dyDescent="0.25">
      <c r="A97" s="573"/>
      <c r="B97" s="573"/>
      <c r="C97" s="573"/>
      <c r="D97" s="573"/>
      <c r="E97" s="573"/>
      <c r="F97" s="573"/>
      <c r="G97" s="573"/>
      <c r="H97" s="573"/>
      <c r="I97" s="573"/>
    </row>
    <row r="98" spans="1:9" x14ac:dyDescent="0.25">
      <c r="A98" s="573"/>
      <c r="B98" s="573"/>
      <c r="C98" s="573"/>
      <c r="D98" s="573"/>
      <c r="E98" s="573"/>
      <c r="F98" s="573"/>
      <c r="G98" s="573"/>
      <c r="H98" s="573"/>
      <c r="I98" s="573"/>
    </row>
    <row r="99" spans="1:9" x14ac:dyDescent="0.25">
      <c r="A99" s="573"/>
      <c r="B99" s="573"/>
      <c r="C99" s="573"/>
      <c r="D99" s="573"/>
      <c r="E99" s="573"/>
      <c r="F99" s="573"/>
      <c r="G99" s="573"/>
      <c r="H99" s="573"/>
      <c r="I99" s="573"/>
    </row>
  </sheetData>
  <sheetProtection algorithmName="SHA-512" hashValue="utLrTQQ+hCKBhx1UcxZIW7yoKcLtV0WE4XfAjYh44hfPnyA5Ylr4XzJWjtUEVGOa6bpY3s8ZPl6eY7cG25nCeg==" saltValue="LHsRXK0r5CV6PVYmLUaQUQ==" spinCount="100000" sheet="1" objects="1" scenarios="1"/>
  <mergeCells count="57">
    <mergeCell ref="F40:I40"/>
    <mergeCell ref="D10:E10"/>
    <mergeCell ref="A59:I59"/>
    <mergeCell ref="A60:I60"/>
    <mergeCell ref="G18:H18"/>
    <mergeCell ref="F10:G10"/>
    <mergeCell ref="A20:I20"/>
    <mergeCell ref="D11:H11"/>
    <mergeCell ref="D12:H12"/>
    <mergeCell ref="D13:H13"/>
    <mergeCell ref="D14:H14"/>
    <mergeCell ref="D15:E15"/>
    <mergeCell ref="D16:E16"/>
    <mergeCell ref="D17:E17"/>
    <mergeCell ref="D18:E18"/>
    <mergeCell ref="G15:H15"/>
    <mergeCell ref="B32:B33"/>
    <mergeCell ref="A30:I30"/>
    <mergeCell ref="D9:E9"/>
    <mergeCell ref="F35:I35"/>
    <mergeCell ref="A39:I39"/>
    <mergeCell ref="F9:G9"/>
    <mergeCell ref="G16:H16"/>
    <mergeCell ref="G17:H17"/>
    <mergeCell ref="D32:D37"/>
    <mergeCell ref="F27:I27"/>
    <mergeCell ref="A29:E29"/>
    <mergeCell ref="F21:I21"/>
    <mergeCell ref="F26:I26"/>
    <mergeCell ref="A24:E24"/>
    <mergeCell ref="A25:I25"/>
    <mergeCell ref="F28:I28"/>
    <mergeCell ref="D3:I3"/>
    <mergeCell ref="D5:I5"/>
    <mergeCell ref="D6:H6"/>
    <mergeCell ref="D7:H7"/>
    <mergeCell ref="D8:H8"/>
    <mergeCell ref="F42:I42"/>
    <mergeCell ref="A62:I62"/>
    <mergeCell ref="A61:I61"/>
    <mergeCell ref="F41:I41"/>
    <mergeCell ref="A63:I63"/>
    <mergeCell ref="A64:I68"/>
    <mergeCell ref="A44:I44"/>
    <mergeCell ref="F45:I45"/>
    <mergeCell ref="F46:I46"/>
    <mergeCell ref="H52:I52"/>
    <mergeCell ref="H53:I53"/>
    <mergeCell ref="A58:I58"/>
    <mergeCell ref="F36:I36"/>
    <mergeCell ref="F37:I37"/>
    <mergeCell ref="F31:I31"/>
    <mergeCell ref="F22:I22"/>
    <mergeCell ref="F23:I23"/>
    <mergeCell ref="F32:I32"/>
    <mergeCell ref="F33:I33"/>
    <mergeCell ref="F34:I34"/>
  </mergeCells>
  <conditionalFormatting sqref="A7:B7">
    <cfRule type="expression" dxfId="0" priority="1">
      <formula>$B$5&lt;&gt;"G.FAST"</formula>
    </cfRule>
  </conditionalFormatting>
  <dataValidations count="8">
    <dataValidation type="list" allowBlank="1" showInputMessage="1" showErrorMessage="1" sqref="B5" xr:uid="{10B37B2E-15A4-4C00-8CE2-74DE309BFF8D}">
      <formula1>"Trigger?, Greenfield, LightGig (Overbuild), ABF CPIN, Greenfield and CPIN, G.FAST"</formula1>
    </dataValidation>
    <dataValidation type="list" allowBlank="1" showInputMessage="1" showErrorMessage="1" sqref="B16" xr:uid="{266B41FD-0E5F-43EC-92C5-613D129AEF12}">
      <formula1>"Enter PFP Type Here, POLE, WALL, PAD, RACK"</formula1>
    </dataValidation>
    <dataValidation type="list" allowBlank="1" showInputMessage="1" showErrorMessage="1" sqref="B17:B18 B7 F10:G10" xr:uid="{F523BD12-1479-4BAA-B92D-F1DA8E2FF190}">
      <formula1>"Yes/No, Yes, No"</formula1>
    </dataValidation>
    <dataValidation type="list" allowBlank="1" showInputMessage="1" showErrorMessage="1" sqref="I9" xr:uid="{FA9D9C67-47B7-44E0-8824-CD57C08C3154}">
      <formula1>"Select # of Optitip, 0, 1, 2"</formula1>
    </dataValidation>
    <dataValidation type="list" allowBlank="1" showInputMessage="1" showErrorMessage="1" sqref="I6" xr:uid="{4E995D45-CFA1-43B5-84E3-E9389A0D1B2A}">
      <formula1>"Select Class, Class N1, Class N2"</formula1>
    </dataValidation>
    <dataValidation type="list" allowBlank="1" showInputMessage="1" showErrorMessage="1" sqref="D6:H6" xr:uid="{BB58E9B4-54EB-406F-8054-2FFE01779CE1}">
      <formula1>"Select Optics, CO XGSPON Optics, ROLT XGSPON Optics, CO GPON Optics, ROLT GPON Optics"</formula1>
    </dataValidation>
    <dataValidation type="list" allowBlank="1" showInputMessage="1" showErrorMessage="1" sqref="F9:G9" xr:uid="{8DE73D4A-5A9A-43B2-A672-6CBB2781CEFB}">
      <formula1>"Planned/Placed/No, Planned, Placed, No"</formula1>
    </dataValidation>
    <dataValidation type="list" allowBlank="1" showInputMessage="1" showErrorMessage="1" sqref="B4" xr:uid="{64FB260E-A4E3-40B6-BDD1-CA0A0FFD589C}">
      <formula1>"Select Region, East, West"</formula1>
    </dataValidation>
  </dataValidations>
  <hyperlinks>
    <hyperlink ref="A58" r:id="rId1" display="Note 1:   Sizing based on 1.5 Fibers per LU (CLR 17.3.2.2).  CCU Take Rate based on CCU contract shown in MIC handoff doc." xr:uid="{3DD4D35C-7244-4A0D-873B-80AD026DFE34}"/>
    <hyperlink ref="A59:E59" r:id="rId2" display="Note 2:  CCU Take Rate based on CCU contract shown in MIC handoff doc.  For Overbuild Locations where CCU contracts don't exist a take rate of 25% is being used as per 17.4.8.2. " xr:uid="{ADAB7068-9483-4057-84BA-0CD14A8EF7EA}"/>
    <hyperlink ref="A60" r:id="rId3" display="Note 3:  Sizing based on CLR 17.3.2.2.1 for this type of BU." xr:uid="{014B1533-CCEB-4E85-8BCE-7B5F58F53EF4}"/>
    <hyperlink ref="A61" r:id="rId4" display="Note 4:  Sizing based on CLR 17.3.2.2.2 for CRAN." xr:uid="{45E137F9-11BF-4967-AEC6-ADD32F59D566}"/>
    <hyperlink ref="A62:E62" r:id="rId5" display="Note 5:  18% increase has been added to ensure fiber requirements do not exceed 85% of the PFP distribution fiber capacity as per CLR 17.4." xr:uid="{47DB5FE3-19C1-455F-80DD-A3582A44190F}"/>
    <hyperlink ref="A63" r:id="rId6" display="CLR 17.3.2.1" xr:uid="{5E4AFDD9-921D-4A2A-996E-48DFF9685E91}"/>
    <hyperlink ref="A58:I58" r:id="rId7" location="1.3.2.1.2." display="Note 1:   Sizing based on ATT-TELCO-002-206-003 section 3.2.1.2. for this type of LU." xr:uid="{A6CA447C-7508-4866-808F-9C55239E983B}"/>
    <hyperlink ref="A59:I59" r:id="rId8" location="1.4.8.2." display="Note 2:  CCU Take Rate based on CCU contract shown in MIC handoff doc.  For Overbuild Locations where CCU contracts don't exist a take rate of 25% is being used as per 17.4.8.2.  Where a take rate greater than the default is shown, it is based upon 1 years growth for the area. " xr:uid="{83BA89EF-B8AB-4EE8-B30A-42BAA186CC39}"/>
    <hyperlink ref="A60:I60" r:id="rId9" location="1.3.2.1.2.2." display="Note 3:  Sizing based on ATT-TELCO-002-206-003 section 3.2.1.2.2 for this type of BU. 18% increase added to ensure fiber requirements do not exceed 85% of the PFP for multi-tenant BUs. " xr:uid="{C4DDAC84-4304-42F5-83CD-88DC373A4FCC}"/>
    <hyperlink ref="A61:I61" r:id="rId10" display="Note 4:  Sizing based on ATT-TELCO-002-600-699 section 2.2.2 for Mobility." xr:uid="{8C6709CD-4E10-419C-B82F-152C1F6E8938}"/>
    <hyperlink ref="A62:I62" r:id="rId11" location="1.4." display="Note 5:  18% increase has been added to ensure fiber requirements do not exceed 85% of the PFP distribution fiber capacity as per ATT-TELCO-002-600-699 section 3." xr:uid="{B9D0712B-3C24-4A9C-8D74-0864F2E1C903}"/>
    <hyperlink ref="A63:I63" r:id="rId12" location="1.3.1." display="Note 6:  Sizing based on ATT-TELCO-002-600-699 section 2.1. pass through fibers." xr:uid="{B93FA7CE-3D5A-4F79-8F67-835EB225CCB6}"/>
    <hyperlink ref="A6" r:id="rId13" xr:uid="{3167D2C6-2FF8-476F-8F90-68E10E65907E}"/>
    <hyperlink ref="D21" r:id="rId14" display="CCU or 1 YR Take Rate" xr:uid="{BBDA8A8B-5962-4C61-A9D1-9034BC722F13}"/>
    <hyperlink ref="D26" r:id="rId15" xr:uid="{A8E66086-2848-41D5-8592-61A95F18A40B}"/>
    <hyperlink ref="C6" r:id="rId16" xr:uid="{92B8A357-B7ED-42A9-8C15-BE0E2CD3F82D}"/>
    <hyperlink ref="C31" r:id="rId17" display="# of Business Units/ CRAN Nodes" xr:uid="{46C59883-950E-48C4-9E2F-CA9CB67C8546}"/>
    <hyperlink ref="D31" r:id="rId18" xr:uid="{451F6749-FD98-4C43-A1CA-E2DB92790B59}"/>
  </hyperlinks>
  <pageMargins left="0.7" right="0.7" top="0.75" bottom="0.75" header="0.3" footer="0.3"/>
  <pageSetup scale="48" fitToHeight="0" orientation="portrait" r:id="rId19"/>
  <legacyDrawing r:id="rId2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1FECB-D9CC-498F-9514-04501E8ED93F}">
  <sheetPr codeName="Sheet11"/>
  <dimension ref="A1:D53"/>
  <sheetViews>
    <sheetView workbookViewId="0">
      <selection activeCell="F28" sqref="F28"/>
    </sheetView>
  </sheetViews>
  <sheetFormatPr defaultRowHeight="15" x14ac:dyDescent="0.25"/>
  <cols>
    <col min="1" max="1" width="93.28515625" customWidth="1"/>
    <col min="2" max="2" width="17" customWidth="1"/>
    <col min="3" max="3" width="15" style="7" customWidth="1"/>
    <col min="4" max="4" width="14.85546875" customWidth="1"/>
  </cols>
  <sheetData>
    <row r="1" spans="1:4" x14ac:dyDescent="0.25">
      <c r="A1" s="574" t="s">
        <v>334</v>
      </c>
      <c r="B1" s="575" t="str">
        <f>'PFP Sizing Sheet'!$B$4</f>
        <v>East</v>
      </c>
      <c r="C1" s="575" t="str">
        <f>'PFP Sizing Sheet'!$B$4</f>
        <v>East</v>
      </c>
      <c r="D1" s="575" t="str">
        <f>'PFP Sizing Sheet'!$B$4</f>
        <v>East</v>
      </c>
    </row>
    <row r="2" spans="1:4" x14ac:dyDescent="0.25">
      <c r="A2" s="574" t="s">
        <v>392</v>
      </c>
      <c r="B2" s="575" t="s">
        <v>393</v>
      </c>
      <c r="C2" s="575" t="s">
        <v>394</v>
      </c>
      <c r="D2" s="575" t="s">
        <v>395</v>
      </c>
    </row>
    <row r="3" spans="1:4" x14ac:dyDescent="0.25">
      <c r="A3" s="576" t="s">
        <v>396</v>
      </c>
      <c r="B3" s="576">
        <f>IF('PFP Sizing Sheet'!$B$46=0,SUM('PFP Sizing Sheet'!$C22:$C23,'PFP Sizing Sheet'!$B27:$B28),'PFP Sizing Sheet'!$B46)</f>
        <v>429</v>
      </c>
      <c r="C3" s="576">
        <f>IF('PFP Sizing Sheet'!$B$46=0,SUM('PFP Sizing Sheet'!$C22:$C23,'PFP Sizing Sheet'!$B27:$B28),'PFP Sizing Sheet'!$B46)</f>
        <v>429</v>
      </c>
      <c r="D3" s="576">
        <f>IF('PFP Sizing Sheet'!$B$46=0,SUM('PFP Sizing Sheet'!$C22:$C23,'PFP Sizing Sheet'!$B27:$B28),'PFP Sizing Sheet'!$B46)</f>
        <v>429</v>
      </c>
    </row>
    <row r="4" spans="1:4" x14ac:dyDescent="0.25">
      <c r="A4" s="576" t="s">
        <v>397</v>
      </c>
      <c r="B4" s="577">
        <f>'PFP Sizing Sheet'!$B$15</f>
        <v>64</v>
      </c>
      <c r="C4" s="577">
        <f>'PFP Sizing Sheet'!$B$15</f>
        <v>64</v>
      </c>
      <c r="D4" s="577">
        <f>'PFP Sizing Sheet'!$B$15</f>
        <v>64</v>
      </c>
    </row>
    <row r="5" spans="1:4" x14ac:dyDescent="0.25">
      <c r="A5" s="574" t="s">
        <v>398</v>
      </c>
      <c r="B5" s="578">
        <v>1</v>
      </c>
      <c r="C5" s="579">
        <v>1</v>
      </c>
      <c r="D5" s="578">
        <v>1</v>
      </c>
    </row>
    <row r="6" spans="1:4" x14ac:dyDescent="0.25">
      <c r="A6" s="574" t="s">
        <v>399</v>
      </c>
      <c r="B6" s="578">
        <v>0.75</v>
      </c>
      <c r="C6" s="579">
        <v>0.75</v>
      </c>
      <c r="D6" s="578">
        <v>0.75</v>
      </c>
    </row>
    <row r="7" spans="1:4" x14ac:dyDescent="0.25">
      <c r="A7" s="574" t="s">
        <v>400</v>
      </c>
      <c r="B7" s="578">
        <v>0.6</v>
      </c>
      <c r="C7" s="579">
        <v>0.6</v>
      </c>
      <c r="D7" s="578">
        <v>0.6</v>
      </c>
    </row>
    <row r="8" spans="1:4" x14ac:dyDescent="0.25">
      <c r="A8" s="574" t="s">
        <v>401</v>
      </c>
      <c r="B8" s="580">
        <f>ROUNDUP(IF(B2="Bulk/Instant On",((B3*B5)/B4),IF(B2="EMA Plus",((B3*B6)/B4),IF(B2="60 Percent",(B3*(B7/B4)),6))),0)</f>
        <v>7</v>
      </c>
      <c r="C8" s="581">
        <f>ROUNDUP(IF(C2="Bulk/Instant On",((C3*C5)/C4),IF(C2="EMA Plus",((C3*C6)/C4),IF(C2="60 Percent",(C3*(C7/C4)),6))),0)</f>
        <v>6</v>
      </c>
      <c r="D8" s="580">
        <f>ROUNDUP(IF(D2="Bulk/Instant On",((D3*D5)/D4),IF(D2="EMA Plus",((D3*D6)/D4),IF(D2="60 Percent",(D3*(D7/D4)),6))),0)</f>
        <v>5</v>
      </c>
    </row>
    <row r="9" spans="1:4" ht="30" x14ac:dyDescent="0.25">
      <c r="A9" s="582" t="s">
        <v>402</v>
      </c>
      <c r="B9" s="576">
        <v>0</v>
      </c>
      <c r="C9" s="576">
        <v>0</v>
      </c>
      <c r="D9" s="576">
        <v>0</v>
      </c>
    </row>
    <row r="10" spans="1:4" x14ac:dyDescent="0.25">
      <c r="A10" s="574" t="s">
        <v>403</v>
      </c>
      <c r="B10" s="580">
        <f>IF(B8-B9&lt;0,0,B8-B9)</f>
        <v>7</v>
      </c>
      <c r="C10" s="580">
        <f>IF(C8-C9&lt;0,0,C8-C9)</f>
        <v>6</v>
      </c>
      <c r="D10" s="580">
        <f>IF(D8-D9&lt;0,0,D8-D9)</f>
        <v>5</v>
      </c>
    </row>
    <row r="11" spans="1:4" ht="15.75" thickBot="1" x14ac:dyDescent="0.3"/>
    <row r="12" spans="1:4" ht="15.75" thickBot="1" x14ac:dyDescent="0.3">
      <c r="A12" s="780" t="s">
        <v>404</v>
      </c>
      <c r="B12" s="781"/>
      <c r="C12" s="583"/>
      <c r="D12" s="584"/>
    </row>
    <row r="13" spans="1:4" ht="15.75" thickBot="1" x14ac:dyDescent="0.3">
      <c r="A13" s="585"/>
      <c r="B13" s="586"/>
      <c r="C13" s="587"/>
      <c r="D13" s="588"/>
    </row>
    <row r="14" spans="1:4" x14ac:dyDescent="0.25">
      <c r="A14" s="589"/>
      <c r="B14" s="590"/>
      <c r="C14" s="591"/>
      <c r="D14" s="592"/>
    </row>
    <row r="15" spans="1:4" x14ac:dyDescent="0.25">
      <c r="A15" t="s">
        <v>405</v>
      </c>
      <c r="B15" s="593">
        <f>B10</f>
        <v>7</v>
      </c>
      <c r="C15" s="591">
        <f>C10</f>
        <v>6</v>
      </c>
      <c r="D15" s="592">
        <f>D10</f>
        <v>5</v>
      </c>
    </row>
    <row r="16" spans="1:4" ht="15.75" thickBot="1" x14ac:dyDescent="0.3">
      <c r="A16" t="s">
        <v>406</v>
      </c>
      <c r="B16" s="594">
        <f>IF(B4=64,525,IF(B4=32,350,IF(B4=16,170,IF(B4="64",525,IF(B4="32",350,IF(B4="16",170,""))))))</f>
        <v>525</v>
      </c>
      <c r="C16" s="594">
        <f>IF(C4=64,525,IF(C4=32,350,IF(C4=16,170,IF(C4="64",525,IF(C4="32",350,IF(C4="16",170,""))))))</f>
        <v>525</v>
      </c>
      <c r="D16" s="594">
        <f>IF(D4=64,525,IF(D4=32,350,IF(D4=16,170,IF(D4="64",525,IF(D4="32",350,IF(D4="16",170,""))))))</f>
        <v>525</v>
      </c>
    </row>
    <row r="17" spans="1:4" ht="15.75" thickBot="1" x14ac:dyDescent="0.3">
      <c r="A17" s="595" t="s">
        <v>407</v>
      </c>
      <c r="B17" s="596">
        <f>B15*B16</f>
        <v>3675</v>
      </c>
      <c r="C17" s="597">
        <f>C15*C16</f>
        <v>3150</v>
      </c>
      <c r="D17" s="598">
        <f>D15*D16</f>
        <v>2625</v>
      </c>
    </row>
    <row r="18" spans="1:4" ht="15.75" thickBot="1" x14ac:dyDescent="0.3">
      <c r="A18" s="599"/>
      <c r="B18" s="599"/>
      <c r="C18" s="600"/>
      <c r="D18" s="601"/>
    </row>
    <row r="19" spans="1:4" x14ac:dyDescent="0.25">
      <c r="A19" s="602" t="s">
        <v>405</v>
      </c>
      <c r="B19" s="590">
        <f>B10</f>
        <v>7</v>
      </c>
      <c r="C19" s="603">
        <f>C10</f>
        <v>6</v>
      </c>
      <c r="D19" s="604">
        <f>D10</f>
        <v>5</v>
      </c>
    </row>
    <row r="20" spans="1:4" ht="15.75" thickBot="1" x14ac:dyDescent="0.3">
      <c r="A20" s="605" t="s">
        <v>408</v>
      </c>
      <c r="B20" s="594">
        <v>50</v>
      </c>
      <c r="C20" s="594">
        <v>50</v>
      </c>
      <c r="D20" s="592">
        <v>50</v>
      </c>
    </row>
    <row r="21" spans="1:4" ht="15.75" thickBot="1" x14ac:dyDescent="0.3">
      <c r="A21" s="606" t="s">
        <v>409</v>
      </c>
      <c r="B21" s="596">
        <f>B19*B20</f>
        <v>350</v>
      </c>
      <c r="C21" s="597">
        <f>C19*C20</f>
        <v>300</v>
      </c>
      <c r="D21" s="607">
        <f>D19*D20</f>
        <v>250</v>
      </c>
    </row>
    <row r="22" spans="1:4" ht="15.75" thickBot="1" x14ac:dyDescent="0.3">
      <c r="A22" s="599"/>
      <c r="B22" s="599"/>
      <c r="C22" s="600"/>
      <c r="D22" s="601"/>
    </row>
    <row r="23" spans="1:4" x14ac:dyDescent="0.25">
      <c r="A23" s="602" t="s">
        <v>405</v>
      </c>
      <c r="B23" s="590">
        <f>B10</f>
        <v>7</v>
      </c>
      <c r="C23" s="603">
        <f>C10</f>
        <v>6</v>
      </c>
      <c r="D23" s="604">
        <f>D10</f>
        <v>5</v>
      </c>
    </row>
    <row r="24" spans="1:4" x14ac:dyDescent="0.25">
      <c r="A24" s="605" t="s">
        <v>410</v>
      </c>
      <c r="B24" s="593">
        <f>ROUNDUP(IF(B2="Bulk/Instant On",(B3*B5),IF(B2="EMA Plus",(B3*B6),IF(B2="60 Percent",(B3*B7)))),0)</f>
        <v>429</v>
      </c>
      <c r="C24" s="591">
        <f>ROUNDUP(IF(C2="Bulk/Instant On",(C3*C5),IF(C2="EMA Plus",(C3*C6),IF(C2="60 Percent",(C3*C7)))),0)</f>
        <v>322</v>
      </c>
      <c r="D24" s="592">
        <f>ROUNDUP(IF(D2="Bulk/Instant On",(D3*D5),IF(D2="EMA Plus",(D3*D6),IF(D2="60 Percent",(D3*D7)))),0)</f>
        <v>258</v>
      </c>
    </row>
    <row r="25" spans="1:4" x14ac:dyDescent="0.25">
      <c r="A25" s="605" t="s">
        <v>411</v>
      </c>
      <c r="B25" s="593">
        <v>0.05</v>
      </c>
      <c r="C25" s="591">
        <v>0.05</v>
      </c>
      <c r="D25" s="592">
        <v>0.05</v>
      </c>
    </row>
    <row r="26" spans="1:4" x14ac:dyDescent="0.25">
      <c r="A26" s="605" t="s">
        <v>412</v>
      </c>
      <c r="B26" s="593">
        <f>B24*B25</f>
        <v>21.450000000000003</v>
      </c>
      <c r="C26" s="591">
        <f>C24*C25</f>
        <v>16.100000000000001</v>
      </c>
      <c r="D26" s="592">
        <f>D24*D25</f>
        <v>12.9</v>
      </c>
    </row>
    <row r="27" spans="1:4" x14ac:dyDescent="0.25">
      <c r="A27" s="605" t="s">
        <v>413</v>
      </c>
      <c r="B27" s="593">
        <v>1.06</v>
      </c>
      <c r="C27" s="591">
        <v>1.06</v>
      </c>
      <c r="D27" s="608">
        <v>1.06</v>
      </c>
    </row>
    <row r="28" spans="1:4" ht="15.75" thickBot="1" x14ac:dyDescent="0.3">
      <c r="A28" s="605" t="s">
        <v>414</v>
      </c>
      <c r="B28" s="594">
        <v>122.78</v>
      </c>
      <c r="C28" s="594">
        <v>122.78</v>
      </c>
      <c r="D28" s="609">
        <v>122.78</v>
      </c>
    </row>
    <row r="29" spans="1:4" ht="15.75" thickBot="1" x14ac:dyDescent="0.3">
      <c r="A29" s="606" t="s">
        <v>415</v>
      </c>
      <c r="B29" s="597">
        <f>IF(B23=0,0,(B28*B26)+(B28*B27))</f>
        <v>2763.7778000000003</v>
      </c>
      <c r="C29" s="597">
        <f>IF(C23=0,0,(C28*C26)+(C28*C27))</f>
        <v>2106.9048000000003</v>
      </c>
      <c r="D29" s="597">
        <f>IF(D23=0,0,(D28*D26)+(D28*D27))</f>
        <v>1714.0088000000001</v>
      </c>
    </row>
    <row r="30" spans="1:4" ht="15.75" thickBot="1" x14ac:dyDescent="0.3">
      <c r="A30" s="599"/>
      <c r="B30" s="599"/>
      <c r="C30" s="610"/>
      <c r="D30" s="601"/>
    </row>
    <row r="31" spans="1:4" x14ac:dyDescent="0.25">
      <c r="A31" s="602" t="s">
        <v>405</v>
      </c>
      <c r="B31" s="590">
        <f>B10</f>
        <v>7</v>
      </c>
      <c r="C31" s="603">
        <f>C10</f>
        <v>6</v>
      </c>
      <c r="D31" s="604">
        <f>D10</f>
        <v>5</v>
      </c>
    </row>
    <row r="32" spans="1:4" ht="15.75" thickBot="1" x14ac:dyDescent="0.3">
      <c r="A32" s="605" t="s">
        <v>416</v>
      </c>
      <c r="B32" s="611">
        <v>350</v>
      </c>
      <c r="C32" s="611">
        <v>350</v>
      </c>
      <c r="D32" s="592">
        <v>350</v>
      </c>
    </row>
    <row r="33" spans="1:4" ht="15.75" thickBot="1" x14ac:dyDescent="0.3">
      <c r="A33" s="606" t="s">
        <v>417</v>
      </c>
      <c r="B33" s="596">
        <f>B31*B32</f>
        <v>2450</v>
      </c>
      <c r="C33" s="597">
        <f>C31*C32</f>
        <v>2100</v>
      </c>
      <c r="D33" s="607">
        <f>D31*D32</f>
        <v>1750</v>
      </c>
    </row>
    <row r="34" spans="1:4" ht="15.75" thickBot="1" x14ac:dyDescent="0.3">
      <c r="A34" s="599"/>
      <c r="B34" s="599"/>
      <c r="C34" s="600"/>
      <c r="D34" s="601"/>
    </row>
    <row r="35" spans="1:4" x14ac:dyDescent="0.25">
      <c r="A35" s="602" t="s">
        <v>405</v>
      </c>
      <c r="B35" s="590">
        <f>B10</f>
        <v>7</v>
      </c>
      <c r="C35" s="603">
        <f>C10</f>
        <v>6</v>
      </c>
      <c r="D35" s="604">
        <f>D10</f>
        <v>5</v>
      </c>
    </row>
    <row r="36" spans="1:4" x14ac:dyDescent="0.25">
      <c r="A36" s="605" t="s">
        <v>421</v>
      </c>
      <c r="B36" s="593">
        <f>B35</f>
        <v>7</v>
      </c>
      <c r="C36" s="591">
        <f>C35</f>
        <v>6</v>
      </c>
      <c r="D36" s="592">
        <f>D35</f>
        <v>5</v>
      </c>
    </row>
    <row r="37" spans="1:4" ht="15.75" thickBot="1" x14ac:dyDescent="0.3">
      <c r="A37" s="605" t="s">
        <v>422</v>
      </c>
      <c r="B37" s="594">
        <v>1557</v>
      </c>
      <c r="C37" s="594">
        <v>1557</v>
      </c>
      <c r="D37" s="594">
        <v>1557</v>
      </c>
    </row>
    <row r="38" spans="1:4" ht="15.75" thickBot="1" x14ac:dyDescent="0.3">
      <c r="A38" s="606" t="s">
        <v>423</v>
      </c>
      <c r="B38" s="596">
        <f>B36*B37</f>
        <v>10899</v>
      </c>
      <c r="C38" s="596">
        <f>C36*C37</f>
        <v>9342</v>
      </c>
      <c r="D38" s="612">
        <f>D36*D37</f>
        <v>7785</v>
      </c>
    </row>
    <row r="40" spans="1:4" ht="15.75" thickBot="1" x14ac:dyDescent="0.3">
      <c r="B40" t="s">
        <v>418</v>
      </c>
      <c r="C40" s="613" t="s">
        <v>419</v>
      </c>
      <c r="D40" s="614">
        <v>0.6</v>
      </c>
    </row>
    <row r="41" spans="1:4" ht="15.75" thickBot="1" x14ac:dyDescent="0.3">
      <c r="A41" s="615" t="s">
        <v>420</v>
      </c>
      <c r="B41" s="616">
        <f>B17+B21+B29+B38+B33</f>
        <v>20137.7778</v>
      </c>
      <c r="C41" s="617">
        <f>C17+C21+C29+C38+C33</f>
        <v>16998.9048</v>
      </c>
      <c r="D41" s="618">
        <f>D17+D21+D29+D38+D33</f>
        <v>14124.0088</v>
      </c>
    </row>
    <row r="42" spans="1:4" x14ac:dyDescent="0.25">
      <c r="A42" s="619"/>
      <c r="B42" s="620"/>
    </row>
    <row r="43" spans="1:4" x14ac:dyDescent="0.25">
      <c r="A43" s="619"/>
      <c r="B43" s="620"/>
    </row>
    <row r="44" spans="1:4" x14ac:dyDescent="0.25">
      <c r="A44" s="619"/>
      <c r="B44" s="620"/>
    </row>
    <row r="45" spans="1:4" x14ac:dyDescent="0.25">
      <c r="A45" s="619"/>
      <c r="B45" s="620"/>
    </row>
    <row r="46" spans="1:4" x14ac:dyDescent="0.25">
      <c r="A46" s="619"/>
      <c r="B46" s="620"/>
    </row>
    <row r="47" spans="1:4" x14ac:dyDescent="0.25">
      <c r="A47" s="619"/>
      <c r="B47" s="620"/>
    </row>
    <row r="48" spans="1:4" x14ac:dyDescent="0.25">
      <c r="A48" s="619"/>
      <c r="B48" s="620"/>
    </row>
    <row r="49" spans="1:3" x14ac:dyDescent="0.25">
      <c r="A49" s="619"/>
      <c r="B49" s="620"/>
    </row>
    <row r="50" spans="1:3" x14ac:dyDescent="0.25">
      <c r="A50" s="619"/>
      <c r="B50" s="620"/>
    </row>
    <row r="51" spans="1:3" x14ac:dyDescent="0.25">
      <c r="A51" s="619"/>
      <c r="B51" s="620"/>
    </row>
    <row r="52" spans="1:3" x14ac:dyDescent="0.25">
      <c r="C52" s="613"/>
    </row>
    <row r="53" spans="1:3" x14ac:dyDescent="0.25">
      <c r="B53" s="621"/>
    </row>
  </sheetData>
  <mergeCells count="1">
    <mergeCell ref="A12:B12"/>
  </mergeCells>
  <dataValidations count="1">
    <dataValidation type="list" allowBlank="1" showInputMessage="1" showErrorMessage="1" sqref="B1:D1" xr:uid="{3839FAFF-28A0-4E49-AF92-4DF31DF628CE}">
      <formula1>"Select Region, SE or CN, W or CS"</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C72692-7260-420D-8FBF-3E18C4529F88}">
  <sheetPr codeName="Sheet12"/>
  <dimension ref="A1:R4"/>
  <sheetViews>
    <sheetView workbookViewId="0">
      <selection activeCell="U12" sqref="U12"/>
    </sheetView>
  </sheetViews>
  <sheetFormatPr defaultRowHeight="15" x14ac:dyDescent="0.25"/>
  <sheetData>
    <row r="1" spans="1:18" ht="15" customHeight="1" x14ac:dyDescent="0.25">
      <c r="A1" s="782" t="s">
        <v>449</v>
      </c>
      <c r="B1" s="782"/>
      <c r="C1" s="782"/>
      <c r="D1" s="782"/>
      <c r="E1" s="782"/>
      <c r="F1" s="782"/>
      <c r="G1" s="782"/>
      <c r="H1" s="782"/>
      <c r="I1" s="782"/>
      <c r="J1" s="782"/>
      <c r="K1" s="782"/>
      <c r="L1" s="782"/>
      <c r="M1" s="782"/>
      <c r="N1" s="782"/>
      <c r="O1" s="782"/>
      <c r="P1" s="782"/>
      <c r="Q1" s="782"/>
      <c r="R1" s="782"/>
    </row>
    <row r="2" spans="1:18" x14ac:dyDescent="0.25">
      <c r="A2" s="782"/>
      <c r="B2" s="782"/>
      <c r="C2" s="782"/>
      <c r="D2" s="782"/>
      <c r="E2" s="782"/>
      <c r="F2" s="782"/>
      <c r="G2" s="782"/>
      <c r="H2" s="782"/>
      <c r="I2" s="782"/>
      <c r="J2" s="782"/>
      <c r="K2" s="782"/>
      <c r="L2" s="782"/>
      <c r="M2" s="782"/>
      <c r="N2" s="782"/>
      <c r="O2" s="782"/>
      <c r="P2" s="782"/>
      <c r="Q2" s="782"/>
      <c r="R2" s="782"/>
    </row>
    <row r="3" spans="1:18" x14ac:dyDescent="0.25">
      <c r="A3" s="782"/>
      <c r="B3" s="782"/>
      <c r="C3" s="782"/>
      <c r="D3" s="782"/>
      <c r="E3" s="782"/>
      <c r="F3" s="782"/>
      <c r="G3" s="782"/>
      <c r="H3" s="782"/>
      <c r="I3" s="782"/>
      <c r="J3" s="782"/>
      <c r="K3" s="782"/>
      <c r="L3" s="782"/>
      <c r="M3" s="782"/>
      <c r="N3" s="782"/>
      <c r="O3" s="782"/>
      <c r="P3" s="782"/>
      <c r="Q3" s="782"/>
      <c r="R3" s="782"/>
    </row>
    <row r="4" spans="1:18" x14ac:dyDescent="0.25">
      <c r="A4" s="523"/>
      <c r="B4" s="523"/>
      <c r="C4" s="523"/>
      <c r="D4" s="523"/>
      <c r="E4" s="523"/>
      <c r="F4" s="523"/>
      <c r="G4" s="523"/>
      <c r="H4" s="523"/>
      <c r="I4" s="523"/>
      <c r="J4" s="523"/>
      <c r="K4" s="523"/>
      <c r="L4" s="523"/>
      <c r="M4" s="523"/>
    </row>
  </sheetData>
  <mergeCells count="1">
    <mergeCell ref="A1:R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R157"/>
  <sheetViews>
    <sheetView topLeftCell="A137" zoomScale="115" zoomScaleNormal="115" workbookViewId="0">
      <selection activeCell="A158" sqref="A158"/>
    </sheetView>
  </sheetViews>
  <sheetFormatPr defaultRowHeight="15" x14ac:dyDescent="0.25"/>
  <cols>
    <col min="1" max="1" width="22" bestFit="1" customWidth="1"/>
  </cols>
  <sheetData>
    <row r="1" spans="1:17" x14ac:dyDescent="0.25">
      <c r="A1" t="s">
        <v>100</v>
      </c>
      <c r="B1" t="s">
        <v>101</v>
      </c>
    </row>
    <row r="3" spans="1:17" x14ac:dyDescent="0.25">
      <c r="A3" t="s">
        <v>102</v>
      </c>
      <c r="B3" t="s">
        <v>103</v>
      </c>
    </row>
    <row r="4" spans="1:17" x14ac:dyDescent="0.25">
      <c r="B4" s="784" t="s">
        <v>104</v>
      </c>
      <c r="C4" s="784"/>
      <c r="D4" s="784"/>
      <c r="E4" s="784"/>
      <c r="F4" s="784"/>
      <c r="G4" s="784"/>
      <c r="H4" s="784"/>
      <c r="I4" s="784"/>
      <c r="J4" s="784"/>
      <c r="K4" s="784"/>
      <c r="L4" s="784"/>
      <c r="M4" s="784"/>
      <c r="N4" s="784"/>
      <c r="O4" s="784"/>
      <c r="P4" s="784"/>
      <c r="Q4" s="784"/>
    </row>
    <row r="5" spans="1:17" x14ac:dyDescent="0.25">
      <c r="B5" s="784"/>
      <c r="C5" s="784"/>
      <c r="D5" s="784"/>
      <c r="E5" s="784"/>
      <c r="F5" s="784"/>
      <c r="G5" s="784"/>
      <c r="H5" s="784"/>
      <c r="I5" s="784"/>
      <c r="J5" s="784"/>
      <c r="K5" s="784"/>
      <c r="L5" s="784"/>
      <c r="M5" s="784"/>
      <c r="N5" s="784"/>
      <c r="O5" s="784"/>
      <c r="P5" s="784"/>
      <c r="Q5" s="784"/>
    </row>
    <row r="6" spans="1:17" x14ac:dyDescent="0.25">
      <c r="B6" s="784"/>
      <c r="C6" s="784"/>
      <c r="D6" s="784"/>
      <c r="E6" s="784"/>
      <c r="F6" s="784"/>
      <c r="G6" s="784"/>
      <c r="H6" s="784"/>
      <c r="I6" s="784"/>
      <c r="J6" s="784"/>
      <c r="K6" s="784"/>
      <c r="L6" s="784"/>
      <c r="M6" s="784"/>
      <c r="N6" s="784"/>
      <c r="O6" s="784"/>
      <c r="P6" s="784"/>
      <c r="Q6" s="784"/>
    </row>
    <row r="7" spans="1:17" x14ac:dyDescent="0.25">
      <c r="B7" s="784"/>
      <c r="C7" s="784"/>
      <c r="D7" s="784"/>
      <c r="E7" s="784"/>
      <c r="F7" s="784"/>
      <c r="G7" s="784"/>
      <c r="H7" s="784"/>
      <c r="I7" s="784"/>
      <c r="J7" s="784"/>
      <c r="K7" s="784"/>
      <c r="L7" s="784"/>
      <c r="M7" s="784"/>
      <c r="N7" s="784"/>
      <c r="O7" s="784"/>
      <c r="P7" s="784"/>
      <c r="Q7" s="784"/>
    </row>
    <row r="8" spans="1:17" x14ac:dyDescent="0.25">
      <c r="B8" s="784"/>
      <c r="C8" s="784"/>
      <c r="D8" s="784"/>
      <c r="E8" s="784"/>
      <c r="F8" s="784"/>
      <c r="G8" s="784"/>
      <c r="H8" s="784"/>
      <c r="I8" s="784"/>
      <c r="J8" s="784"/>
      <c r="K8" s="784"/>
      <c r="L8" s="784"/>
      <c r="M8" s="784"/>
      <c r="N8" s="784"/>
      <c r="O8" s="784"/>
      <c r="P8" s="784"/>
      <c r="Q8" s="784"/>
    </row>
    <row r="9" spans="1:17" x14ac:dyDescent="0.25">
      <c r="B9" s="784"/>
      <c r="C9" s="784"/>
      <c r="D9" s="784"/>
      <c r="E9" s="784"/>
      <c r="F9" s="784"/>
      <c r="G9" s="784"/>
      <c r="H9" s="784"/>
      <c r="I9" s="784"/>
      <c r="J9" s="784"/>
      <c r="K9" s="784"/>
      <c r="L9" s="784"/>
      <c r="M9" s="784"/>
      <c r="N9" s="784"/>
      <c r="O9" s="784"/>
      <c r="P9" s="784"/>
      <c r="Q9" s="784"/>
    </row>
    <row r="10" spans="1:17" x14ac:dyDescent="0.25">
      <c r="B10" s="784"/>
      <c r="C10" s="784"/>
      <c r="D10" s="784"/>
      <c r="E10" s="784"/>
      <c r="F10" s="784"/>
      <c r="G10" s="784"/>
      <c r="H10" s="784"/>
      <c r="I10" s="784"/>
      <c r="J10" s="784"/>
      <c r="K10" s="784"/>
      <c r="L10" s="784"/>
      <c r="M10" s="784"/>
      <c r="N10" s="784"/>
      <c r="O10" s="784"/>
      <c r="P10" s="784"/>
      <c r="Q10" s="784"/>
    </row>
    <row r="11" spans="1:17" x14ac:dyDescent="0.25">
      <c r="B11" s="524"/>
      <c r="C11" s="524"/>
      <c r="D11" s="524"/>
      <c r="E11" s="524"/>
      <c r="F11" s="524"/>
      <c r="G11" s="524"/>
      <c r="H11" s="524"/>
      <c r="I11" s="524"/>
      <c r="J11" s="524"/>
      <c r="K11" s="524"/>
      <c r="L11" s="524"/>
      <c r="M11" s="524"/>
      <c r="N11" s="524"/>
      <c r="O11" s="524"/>
      <c r="P11" s="524"/>
      <c r="Q11" s="524"/>
    </row>
    <row r="12" spans="1:17" x14ac:dyDescent="0.25">
      <c r="A12" t="s">
        <v>105</v>
      </c>
      <c r="B12" t="s">
        <v>106</v>
      </c>
    </row>
    <row r="13" spans="1:17" x14ac:dyDescent="0.25">
      <c r="B13" s="782" t="s">
        <v>107</v>
      </c>
      <c r="C13" s="782"/>
      <c r="D13" s="782"/>
      <c r="E13" s="782"/>
      <c r="F13" s="782"/>
      <c r="G13" s="782"/>
      <c r="H13" s="782"/>
      <c r="I13" s="782"/>
      <c r="J13" s="782"/>
      <c r="K13" s="782"/>
      <c r="L13" s="782"/>
      <c r="M13" s="782"/>
      <c r="N13" s="782"/>
      <c r="O13" s="782"/>
      <c r="P13" s="782"/>
      <c r="Q13" s="782"/>
    </row>
    <row r="14" spans="1:17" x14ac:dyDescent="0.25">
      <c r="B14" s="782"/>
      <c r="C14" s="782"/>
      <c r="D14" s="782"/>
      <c r="E14" s="782"/>
      <c r="F14" s="782"/>
      <c r="G14" s="782"/>
      <c r="H14" s="782"/>
      <c r="I14" s="782"/>
      <c r="J14" s="782"/>
      <c r="K14" s="782"/>
      <c r="L14" s="782"/>
      <c r="M14" s="782"/>
      <c r="N14" s="782"/>
      <c r="O14" s="782"/>
      <c r="P14" s="782"/>
      <c r="Q14" s="782"/>
    </row>
    <row r="15" spans="1:17" x14ac:dyDescent="0.25">
      <c r="B15" s="782"/>
      <c r="C15" s="782"/>
      <c r="D15" s="782"/>
      <c r="E15" s="782"/>
      <c r="F15" s="782"/>
      <c r="G15" s="782"/>
      <c r="H15" s="782"/>
      <c r="I15" s="782"/>
      <c r="J15" s="782"/>
      <c r="K15" s="782"/>
      <c r="L15" s="782"/>
      <c r="M15" s="782"/>
      <c r="N15" s="782"/>
      <c r="O15" s="782"/>
      <c r="P15" s="782"/>
      <c r="Q15" s="782"/>
    </row>
    <row r="16" spans="1:17" x14ac:dyDescent="0.25">
      <c r="B16" s="782"/>
      <c r="C16" s="782"/>
      <c r="D16" s="782"/>
      <c r="E16" s="782"/>
      <c r="F16" s="782"/>
      <c r="G16" s="782"/>
      <c r="H16" s="782"/>
      <c r="I16" s="782"/>
      <c r="J16" s="782"/>
      <c r="K16" s="782"/>
      <c r="L16" s="782"/>
      <c r="M16" s="782"/>
      <c r="N16" s="782"/>
      <c r="O16" s="782"/>
      <c r="P16" s="782"/>
      <c r="Q16" s="782"/>
    </row>
    <row r="17" spans="1:17" x14ac:dyDescent="0.25">
      <c r="B17" s="782"/>
      <c r="C17" s="782"/>
      <c r="D17" s="782"/>
      <c r="E17" s="782"/>
      <c r="F17" s="782"/>
      <c r="G17" s="782"/>
      <c r="H17" s="782"/>
      <c r="I17" s="782"/>
      <c r="J17" s="782"/>
      <c r="K17" s="782"/>
      <c r="L17" s="782"/>
      <c r="M17" s="782"/>
      <c r="N17" s="782"/>
      <c r="O17" s="782"/>
      <c r="P17" s="782"/>
      <c r="Q17" s="782"/>
    </row>
    <row r="18" spans="1:17" x14ac:dyDescent="0.25">
      <c r="B18" s="782"/>
      <c r="C18" s="782"/>
      <c r="D18" s="782"/>
      <c r="E18" s="782"/>
      <c r="F18" s="782"/>
      <c r="G18" s="782"/>
      <c r="H18" s="782"/>
      <c r="I18" s="782"/>
      <c r="J18" s="782"/>
      <c r="K18" s="782"/>
      <c r="L18" s="782"/>
      <c r="M18" s="782"/>
      <c r="N18" s="782"/>
      <c r="O18" s="782"/>
      <c r="P18" s="782"/>
      <c r="Q18" s="782"/>
    </row>
    <row r="19" spans="1:17" x14ac:dyDescent="0.25">
      <c r="B19" s="782"/>
      <c r="C19" s="782"/>
      <c r="D19" s="782"/>
      <c r="E19" s="782"/>
      <c r="F19" s="782"/>
      <c r="G19" s="782"/>
      <c r="H19" s="782"/>
      <c r="I19" s="782"/>
      <c r="J19" s="782"/>
      <c r="K19" s="782"/>
      <c r="L19" s="782"/>
      <c r="M19" s="782"/>
      <c r="N19" s="782"/>
      <c r="O19" s="782"/>
      <c r="P19" s="782"/>
      <c r="Q19" s="782"/>
    </row>
    <row r="20" spans="1:17" x14ac:dyDescent="0.25">
      <c r="B20" s="782"/>
      <c r="C20" s="782"/>
      <c r="D20" s="782"/>
      <c r="E20" s="782"/>
      <c r="F20" s="782"/>
      <c r="G20" s="782"/>
      <c r="H20" s="782"/>
      <c r="I20" s="782"/>
      <c r="J20" s="782"/>
      <c r="K20" s="782"/>
      <c r="L20" s="782"/>
      <c r="M20" s="782"/>
      <c r="N20" s="782"/>
      <c r="O20" s="782"/>
      <c r="P20" s="782"/>
      <c r="Q20" s="782"/>
    </row>
    <row r="21" spans="1:17" x14ac:dyDescent="0.25">
      <c r="B21" s="782"/>
      <c r="C21" s="782"/>
      <c r="D21" s="782"/>
      <c r="E21" s="782"/>
      <c r="F21" s="782"/>
      <c r="G21" s="782"/>
      <c r="H21" s="782"/>
      <c r="I21" s="782"/>
      <c r="J21" s="782"/>
      <c r="K21" s="782"/>
      <c r="L21" s="782"/>
      <c r="M21" s="782"/>
      <c r="N21" s="782"/>
      <c r="O21" s="782"/>
      <c r="P21" s="782"/>
      <c r="Q21" s="782"/>
    </row>
    <row r="22" spans="1:17" x14ac:dyDescent="0.25">
      <c r="C22" s="523"/>
      <c r="D22" s="523"/>
      <c r="E22" s="37"/>
      <c r="F22" s="523"/>
      <c r="G22" s="523"/>
      <c r="H22" s="523"/>
      <c r="I22" s="523"/>
      <c r="J22" s="523"/>
      <c r="K22" s="523"/>
      <c r="L22" s="523"/>
      <c r="M22" s="523"/>
      <c r="N22" s="523"/>
      <c r="O22" s="523"/>
      <c r="P22" s="523"/>
      <c r="Q22" s="523"/>
    </row>
    <row r="23" spans="1:17" x14ac:dyDescent="0.25">
      <c r="B23" s="37" t="s">
        <v>108</v>
      </c>
      <c r="C23" s="523"/>
      <c r="D23" s="523"/>
      <c r="E23" s="523"/>
      <c r="F23" s="523"/>
      <c r="G23" s="523"/>
      <c r="H23" s="523"/>
      <c r="I23" s="523"/>
      <c r="J23" s="523"/>
      <c r="K23" s="523"/>
      <c r="L23" s="523"/>
      <c r="M23" s="523"/>
      <c r="N23" s="523"/>
      <c r="O23" s="523"/>
      <c r="P23" s="523"/>
      <c r="Q23" s="523"/>
    </row>
    <row r="24" spans="1:17" x14ac:dyDescent="0.25">
      <c r="B24" s="36"/>
    </row>
    <row r="25" spans="1:17" x14ac:dyDescent="0.25">
      <c r="A25" s="37" t="s">
        <v>109</v>
      </c>
      <c r="B25" s="782" t="s">
        <v>110</v>
      </c>
      <c r="C25" s="782"/>
      <c r="D25" s="782"/>
      <c r="E25" s="782"/>
      <c r="F25" s="782"/>
      <c r="G25" s="782"/>
      <c r="H25" s="782"/>
      <c r="I25" s="782"/>
      <c r="J25" s="782"/>
      <c r="K25" s="782"/>
      <c r="L25" s="782"/>
      <c r="M25" s="782"/>
      <c r="N25" s="782"/>
      <c r="O25" s="782"/>
      <c r="P25" s="782"/>
      <c r="Q25" s="782"/>
    </row>
    <row r="27" spans="1:17" x14ac:dyDescent="0.25">
      <c r="B27" s="785" t="s">
        <v>111</v>
      </c>
      <c r="C27" s="785"/>
      <c r="D27" s="785"/>
      <c r="E27" s="785"/>
      <c r="F27" s="785"/>
      <c r="G27" s="785"/>
      <c r="H27" s="785"/>
      <c r="I27" s="785"/>
      <c r="J27" s="785"/>
      <c r="K27" s="785"/>
      <c r="L27" s="785"/>
      <c r="M27" s="785"/>
      <c r="N27" s="785"/>
      <c r="O27" s="785"/>
      <c r="P27" s="785"/>
      <c r="Q27" s="785"/>
    </row>
    <row r="29" spans="1:17" x14ac:dyDescent="0.25">
      <c r="B29" s="782" t="s">
        <v>112</v>
      </c>
      <c r="C29" s="782"/>
      <c r="D29" s="782"/>
      <c r="E29" s="782"/>
      <c r="F29" s="782"/>
      <c r="G29" s="782"/>
      <c r="H29" s="782"/>
      <c r="I29" s="782"/>
      <c r="J29" s="782"/>
      <c r="K29" s="782"/>
      <c r="L29" s="782"/>
      <c r="M29" s="782"/>
      <c r="N29" s="782"/>
      <c r="O29" s="782"/>
      <c r="P29" s="782"/>
      <c r="Q29" s="782"/>
    </row>
    <row r="30" spans="1:17" x14ac:dyDescent="0.25">
      <c r="B30" s="782"/>
      <c r="C30" s="782"/>
      <c r="D30" s="782"/>
      <c r="E30" s="782"/>
      <c r="F30" s="782"/>
      <c r="G30" s="782"/>
      <c r="H30" s="782"/>
      <c r="I30" s="782"/>
      <c r="J30" s="782"/>
      <c r="K30" s="782"/>
      <c r="L30" s="782"/>
      <c r="M30" s="782"/>
      <c r="N30" s="782"/>
      <c r="O30" s="782"/>
      <c r="P30" s="782"/>
      <c r="Q30" s="782"/>
    </row>
    <row r="32" spans="1:17" x14ac:dyDescent="0.25">
      <c r="A32" t="s">
        <v>113</v>
      </c>
      <c r="B32" t="s">
        <v>114</v>
      </c>
    </row>
    <row r="33" spans="1:17" x14ac:dyDescent="0.25">
      <c r="B33" s="783" t="s">
        <v>115</v>
      </c>
      <c r="C33" s="783"/>
      <c r="D33" s="783"/>
      <c r="E33" s="783"/>
      <c r="F33" s="783"/>
      <c r="G33" s="783"/>
      <c r="H33" s="783"/>
      <c r="I33" s="783"/>
      <c r="J33" s="783"/>
      <c r="K33" s="783"/>
      <c r="L33" s="783"/>
      <c r="M33" s="783"/>
      <c r="N33" s="783"/>
      <c r="O33" s="783"/>
      <c r="P33" s="783"/>
      <c r="Q33" s="783"/>
    </row>
    <row r="34" spans="1:17" x14ac:dyDescent="0.25">
      <c r="B34" s="783"/>
      <c r="C34" s="783"/>
      <c r="D34" s="783"/>
      <c r="E34" s="783"/>
      <c r="F34" s="783"/>
      <c r="G34" s="783"/>
      <c r="H34" s="783"/>
      <c r="I34" s="783"/>
      <c r="J34" s="783"/>
      <c r="K34" s="783"/>
      <c r="L34" s="783"/>
      <c r="M34" s="783"/>
      <c r="N34" s="783"/>
      <c r="O34" s="783"/>
      <c r="P34" s="783"/>
      <c r="Q34" s="783"/>
    </row>
    <row r="35" spans="1:17" x14ac:dyDescent="0.25">
      <c r="B35" s="783"/>
      <c r="C35" s="783"/>
      <c r="D35" s="783"/>
      <c r="E35" s="783"/>
      <c r="F35" s="783"/>
      <c r="G35" s="783"/>
      <c r="H35" s="783"/>
      <c r="I35" s="783"/>
      <c r="J35" s="783"/>
      <c r="K35" s="783"/>
      <c r="L35" s="783"/>
      <c r="M35" s="783"/>
      <c r="N35" s="783"/>
      <c r="O35" s="783"/>
      <c r="P35" s="783"/>
      <c r="Q35" s="783"/>
    </row>
    <row r="36" spans="1:17" x14ac:dyDescent="0.25">
      <c r="B36" s="783"/>
      <c r="C36" s="783"/>
      <c r="D36" s="783"/>
      <c r="E36" s="783"/>
      <c r="F36" s="783"/>
      <c r="G36" s="783"/>
      <c r="H36" s="783"/>
      <c r="I36" s="783"/>
      <c r="J36" s="783"/>
      <c r="K36" s="783"/>
      <c r="L36" s="783"/>
      <c r="M36" s="783"/>
      <c r="N36" s="783"/>
      <c r="O36" s="783"/>
      <c r="P36" s="783"/>
      <c r="Q36" s="783"/>
    </row>
    <row r="37" spans="1:17" x14ac:dyDescent="0.25">
      <c r="B37" s="783"/>
      <c r="C37" s="783"/>
      <c r="D37" s="783"/>
      <c r="E37" s="783"/>
      <c r="F37" s="783"/>
      <c r="G37" s="783"/>
      <c r="H37" s="783"/>
      <c r="I37" s="783"/>
      <c r="J37" s="783"/>
      <c r="K37" s="783"/>
      <c r="L37" s="783"/>
      <c r="M37" s="783"/>
      <c r="N37" s="783"/>
      <c r="O37" s="783"/>
      <c r="P37" s="783"/>
      <c r="Q37" s="783"/>
    </row>
    <row r="38" spans="1:17" x14ac:dyDescent="0.25">
      <c r="B38" s="783"/>
      <c r="C38" s="783"/>
      <c r="D38" s="783"/>
      <c r="E38" s="783"/>
      <c r="F38" s="783"/>
      <c r="G38" s="783"/>
      <c r="H38" s="783"/>
      <c r="I38" s="783"/>
      <c r="J38" s="783"/>
      <c r="K38" s="783"/>
      <c r="L38" s="783"/>
      <c r="M38" s="783"/>
      <c r="N38" s="783"/>
      <c r="O38" s="783"/>
      <c r="P38" s="783"/>
      <c r="Q38" s="783"/>
    </row>
    <row r="40" spans="1:17" x14ac:dyDescent="0.25">
      <c r="A40" t="s">
        <v>116</v>
      </c>
      <c r="B40" t="s">
        <v>117</v>
      </c>
    </row>
    <row r="41" spans="1:17" x14ac:dyDescent="0.25">
      <c r="B41" s="786" t="s">
        <v>118</v>
      </c>
      <c r="C41" s="786"/>
      <c r="D41" s="786"/>
      <c r="E41" s="786"/>
      <c r="F41" s="786"/>
      <c r="G41" s="786"/>
      <c r="H41" s="786"/>
      <c r="I41" s="786"/>
      <c r="J41" s="786"/>
      <c r="K41" s="786"/>
      <c r="L41" s="786"/>
      <c r="M41" s="786"/>
      <c r="N41" s="786"/>
      <c r="O41" s="786"/>
      <c r="P41" s="786"/>
      <c r="Q41" s="786"/>
    </row>
    <row r="42" spans="1:17" x14ac:dyDescent="0.25">
      <c r="B42" s="786"/>
      <c r="C42" s="786"/>
      <c r="D42" s="786"/>
      <c r="E42" s="786"/>
      <c r="F42" s="786"/>
      <c r="G42" s="786"/>
      <c r="H42" s="786"/>
      <c r="I42" s="786"/>
      <c r="J42" s="786"/>
      <c r="K42" s="786"/>
      <c r="L42" s="786"/>
      <c r="M42" s="786"/>
      <c r="N42" s="786"/>
      <c r="O42" s="786"/>
      <c r="P42" s="786"/>
      <c r="Q42" s="786"/>
    </row>
    <row r="43" spans="1:17" x14ac:dyDescent="0.25">
      <c r="B43" s="786"/>
      <c r="C43" s="786"/>
      <c r="D43" s="786"/>
      <c r="E43" s="786"/>
      <c r="F43" s="786"/>
      <c r="G43" s="786"/>
      <c r="H43" s="786"/>
      <c r="I43" s="786"/>
      <c r="J43" s="786"/>
      <c r="K43" s="786"/>
      <c r="L43" s="786"/>
      <c r="M43" s="786"/>
      <c r="N43" s="786"/>
      <c r="O43" s="786"/>
      <c r="P43" s="786"/>
      <c r="Q43" s="786"/>
    </row>
    <row r="45" spans="1:17" x14ac:dyDescent="0.25">
      <c r="B45" t="s">
        <v>119</v>
      </c>
    </row>
    <row r="47" spans="1:17" x14ac:dyDescent="0.25">
      <c r="A47" t="s">
        <v>120</v>
      </c>
      <c r="B47" t="s">
        <v>121</v>
      </c>
    </row>
    <row r="49" spans="1:18" x14ac:dyDescent="0.25">
      <c r="A49" t="s">
        <v>122</v>
      </c>
      <c r="B49" t="s">
        <v>123</v>
      </c>
    </row>
    <row r="51" spans="1:18" x14ac:dyDescent="0.25">
      <c r="A51" t="s">
        <v>124</v>
      </c>
      <c r="B51" t="s">
        <v>125</v>
      </c>
    </row>
    <row r="52" spans="1:18" x14ac:dyDescent="0.25">
      <c r="B52" s="783" t="s">
        <v>126</v>
      </c>
      <c r="C52" s="783"/>
      <c r="D52" s="783"/>
      <c r="E52" s="783"/>
      <c r="F52" s="783"/>
      <c r="G52" s="783"/>
      <c r="H52" s="783"/>
      <c r="I52" s="783"/>
      <c r="J52" s="783"/>
      <c r="K52" s="783"/>
      <c r="L52" s="783"/>
      <c r="M52" s="783"/>
      <c r="N52" s="783"/>
      <c r="O52" s="783"/>
      <c r="P52" s="783"/>
      <c r="Q52" s="783"/>
    </row>
    <row r="53" spans="1:18" x14ac:dyDescent="0.25">
      <c r="B53" s="783"/>
      <c r="C53" s="783"/>
      <c r="D53" s="783"/>
      <c r="E53" s="783"/>
      <c r="F53" s="783"/>
      <c r="G53" s="783"/>
      <c r="H53" s="783"/>
      <c r="I53" s="783"/>
      <c r="J53" s="783"/>
      <c r="K53" s="783"/>
      <c r="L53" s="783"/>
      <c r="M53" s="783"/>
      <c r="N53" s="783"/>
      <c r="O53" s="783"/>
      <c r="P53" s="783"/>
      <c r="Q53" s="783"/>
    </row>
    <row r="54" spans="1:18" x14ac:dyDescent="0.25">
      <c r="B54" s="783"/>
      <c r="C54" s="783"/>
      <c r="D54" s="783"/>
      <c r="E54" s="783"/>
      <c r="F54" s="783"/>
      <c r="G54" s="783"/>
      <c r="H54" s="783"/>
      <c r="I54" s="783"/>
      <c r="J54" s="783"/>
      <c r="K54" s="783"/>
      <c r="L54" s="783"/>
      <c r="M54" s="783"/>
      <c r="N54" s="783"/>
      <c r="O54" s="783"/>
      <c r="P54" s="783"/>
      <c r="Q54" s="783"/>
    </row>
    <row r="55" spans="1:18" x14ac:dyDescent="0.25">
      <c r="B55" s="783"/>
      <c r="C55" s="783"/>
      <c r="D55" s="783"/>
      <c r="E55" s="783"/>
      <c r="F55" s="783"/>
      <c r="G55" s="783"/>
      <c r="H55" s="783"/>
      <c r="I55" s="783"/>
      <c r="J55" s="783"/>
      <c r="K55" s="783"/>
      <c r="L55" s="783"/>
      <c r="M55" s="783"/>
      <c r="N55" s="783"/>
      <c r="O55" s="783"/>
      <c r="P55" s="783"/>
      <c r="Q55" s="783"/>
    </row>
    <row r="56" spans="1:18" x14ac:dyDescent="0.25">
      <c r="B56" s="783"/>
      <c r="C56" s="783"/>
      <c r="D56" s="783"/>
      <c r="E56" s="783"/>
      <c r="F56" s="783"/>
      <c r="G56" s="783"/>
      <c r="H56" s="783"/>
      <c r="I56" s="783"/>
      <c r="J56" s="783"/>
      <c r="K56" s="783"/>
      <c r="L56" s="783"/>
      <c r="M56" s="783"/>
      <c r="N56" s="783"/>
      <c r="O56" s="783"/>
      <c r="P56" s="783"/>
      <c r="Q56" s="783"/>
    </row>
    <row r="57" spans="1:18" x14ac:dyDescent="0.25">
      <c r="B57" s="783"/>
      <c r="C57" s="783"/>
      <c r="D57" s="783"/>
      <c r="E57" s="783"/>
      <c r="F57" s="783"/>
      <c r="G57" s="783"/>
      <c r="H57" s="783"/>
      <c r="I57" s="783"/>
      <c r="J57" s="783"/>
      <c r="K57" s="783"/>
      <c r="L57" s="783"/>
      <c r="M57" s="783"/>
      <c r="N57" s="783"/>
      <c r="O57" s="783"/>
      <c r="P57" s="783"/>
      <c r="Q57" s="783"/>
    </row>
    <row r="58" spans="1:18" x14ac:dyDescent="0.25">
      <c r="B58" s="783"/>
      <c r="C58" s="783"/>
      <c r="D58" s="783"/>
      <c r="E58" s="783"/>
      <c r="F58" s="783"/>
      <c r="G58" s="783"/>
      <c r="H58" s="783"/>
      <c r="I58" s="783"/>
      <c r="J58" s="783"/>
      <c r="K58" s="783"/>
      <c r="L58" s="783"/>
      <c r="M58" s="783"/>
      <c r="N58" s="783"/>
      <c r="O58" s="783"/>
      <c r="P58" s="783"/>
      <c r="Q58" s="783"/>
    </row>
    <row r="59" spans="1:18" x14ac:dyDescent="0.25">
      <c r="B59" s="783"/>
      <c r="C59" s="783"/>
      <c r="D59" s="783"/>
      <c r="E59" s="783"/>
      <c r="F59" s="783"/>
      <c r="G59" s="783"/>
      <c r="H59" s="783"/>
      <c r="I59" s="783"/>
      <c r="J59" s="783"/>
      <c r="K59" s="783"/>
      <c r="L59" s="783"/>
      <c r="M59" s="783"/>
      <c r="N59" s="783"/>
      <c r="O59" s="783"/>
      <c r="P59" s="783"/>
      <c r="Q59" s="783"/>
    </row>
    <row r="60" spans="1:18" x14ac:dyDescent="0.25">
      <c r="B60" s="783"/>
      <c r="C60" s="783"/>
      <c r="D60" s="783"/>
      <c r="E60" s="783"/>
      <c r="F60" s="783"/>
      <c r="G60" s="783"/>
      <c r="H60" s="783"/>
      <c r="I60" s="783"/>
      <c r="J60" s="783"/>
      <c r="K60" s="783"/>
      <c r="L60" s="783"/>
      <c r="M60" s="783"/>
      <c r="N60" s="783"/>
      <c r="O60" s="783"/>
      <c r="P60" s="783"/>
      <c r="Q60" s="783"/>
    </row>
    <row r="61" spans="1:18" x14ac:dyDescent="0.25">
      <c r="B61" s="525"/>
      <c r="C61" s="525"/>
      <c r="D61" s="525"/>
      <c r="E61" s="525"/>
      <c r="F61" s="525"/>
      <c r="G61" s="525"/>
      <c r="H61" s="525"/>
      <c r="I61" s="525"/>
      <c r="J61" s="525"/>
      <c r="K61" s="525"/>
      <c r="L61" s="525"/>
      <c r="M61" s="525"/>
      <c r="N61" s="525"/>
      <c r="O61" s="525"/>
      <c r="P61" s="525"/>
      <c r="Q61" s="525"/>
    </row>
    <row r="62" spans="1:18" x14ac:dyDescent="0.25">
      <c r="B62" s="526" t="s">
        <v>127</v>
      </c>
      <c r="C62" s="525"/>
      <c r="D62" s="525"/>
      <c r="E62" s="525"/>
      <c r="F62" s="525"/>
      <c r="G62" s="525"/>
      <c r="H62" s="525"/>
      <c r="I62" s="525"/>
      <c r="J62" s="525"/>
      <c r="K62" s="525"/>
      <c r="L62" s="525"/>
      <c r="M62" s="525"/>
      <c r="N62" s="525"/>
      <c r="O62" s="525"/>
      <c r="P62" s="525"/>
      <c r="Q62" s="525"/>
    </row>
    <row r="63" spans="1:18" x14ac:dyDescent="0.25">
      <c r="B63" s="783" t="s">
        <v>128</v>
      </c>
      <c r="C63" s="783"/>
      <c r="D63" s="783"/>
      <c r="E63" s="783"/>
      <c r="F63" s="783"/>
      <c r="G63" s="783"/>
      <c r="H63" s="783"/>
      <c r="I63" s="783"/>
      <c r="J63" s="783"/>
      <c r="K63" s="783"/>
      <c r="L63" s="783"/>
      <c r="M63" s="783"/>
      <c r="N63" s="783"/>
      <c r="O63" s="783"/>
      <c r="P63" s="783"/>
      <c r="Q63" s="783"/>
      <c r="R63" s="783"/>
    </row>
    <row r="64" spans="1:18" x14ac:dyDescent="0.25">
      <c r="B64" s="783"/>
      <c r="C64" s="783"/>
      <c r="D64" s="783"/>
      <c r="E64" s="783"/>
      <c r="F64" s="783"/>
      <c r="G64" s="783"/>
      <c r="H64" s="783"/>
      <c r="I64" s="783"/>
      <c r="J64" s="783"/>
      <c r="K64" s="783"/>
      <c r="L64" s="783"/>
      <c r="M64" s="783"/>
      <c r="N64" s="783"/>
      <c r="O64" s="783"/>
      <c r="P64" s="783"/>
      <c r="Q64" s="783"/>
      <c r="R64" s="783"/>
    </row>
    <row r="65" spans="1:18" x14ac:dyDescent="0.25">
      <c r="B65" s="783"/>
      <c r="C65" s="783"/>
      <c r="D65" s="783"/>
      <c r="E65" s="783"/>
      <c r="F65" s="783"/>
      <c r="G65" s="783"/>
      <c r="H65" s="783"/>
      <c r="I65" s="783"/>
      <c r="J65" s="783"/>
      <c r="K65" s="783"/>
      <c r="L65" s="783"/>
      <c r="M65" s="783"/>
      <c r="N65" s="783"/>
      <c r="O65" s="783"/>
      <c r="P65" s="783"/>
      <c r="Q65" s="783"/>
      <c r="R65" s="783"/>
    </row>
    <row r="66" spans="1:18" x14ac:dyDescent="0.25">
      <c r="B66" s="783"/>
      <c r="C66" s="783"/>
      <c r="D66" s="783"/>
      <c r="E66" s="783"/>
      <c r="F66" s="783"/>
      <c r="G66" s="783"/>
      <c r="H66" s="783"/>
      <c r="I66" s="783"/>
      <c r="J66" s="783"/>
      <c r="K66" s="783"/>
      <c r="L66" s="783"/>
      <c r="M66" s="783"/>
      <c r="N66" s="783"/>
      <c r="O66" s="783"/>
      <c r="P66" s="783"/>
      <c r="Q66" s="783"/>
      <c r="R66" s="783"/>
    </row>
    <row r="67" spans="1:18" x14ac:dyDescent="0.25">
      <c r="B67" s="783"/>
      <c r="C67" s="783"/>
      <c r="D67" s="783"/>
      <c r="E67" s="783"/>
      <c r="F67" s="783"/>
      <c r="G67" s="783"/>
      <c r="H67" s="783"/>
      <c r="I67" s="783"/>
      <c r="J67" s="783"/>
      <c r="K67" s="783"/>
      <c r="L67" s="783"/>
      <c r="M67" s="783"/>
      <c r="N67" s="783"/>
      <c r="O67" s="783"/>
      <c r="P67" s="783"/>
      <c r="Q67" s="783"/>
      <c r="R67" s="783"/>
    </row>
    <row r="69" spans="1:18" x14ac:dyDescent="0.25">
      <c r="B69" s="786" t="s">
        <v>129</v>
      </c>
      <c r="C69" s="786"/>
      <c r="D69" s="786"/>
      <c r="E69" s="786"/>
      <c r="F69" s="786"/>
      <c r="G69" s="786"/>
      <c r="H69" s="786"/>
      <c r="I69" s="786"/>
      <c r="J69" s="786"/>
      <c r="K69" s="786"/>
      <c r="L69" s="786"/>
      <c r="M69" s="786"/>
      <c r="N69" s="786"/>
      <c r="O69" s="786"/>
      <c r="P69" s="786"/>
      <c r="Q69" s="786"/>
      <c r="R69" s="786"/>
    </row>
    <row r="70" spans="1:18" x14ac:dyDescent="0.25">
      <c r="B70" s="786"/>
      <c r="C70" s="786"/>
      <c r="D70" s="786"/>
      <c r="E70" s="786"/>
      <c r="F70" s="786"/>
      <c r="G70" s="786"/>
      <c r="H70" s="786"/>
      <c r="I70" s="786"/>
      <c r="J70" s="786"/>
      <c r="K70" s="786"/>
      <c r="L70" s="786"/>
      <c r="M70" s="786"/>
      <c r="N70" s="786"/>
      <c r="O70" s="786"/>
      <c r="P70" s="786"/>
      <c r="Q70" s="786"/>
      <c r="R70" s="786"/>
    </row>
    <row r="71" spans="1:18" x14ac:dyDescent="0.25">
      <c r="B71" s="786"/>
      <c r="C71" s="786"/>
      <c r="D71" s="786"/>
      <c r="E71" s="786"/>
      <c r="F71" s="786"/>
      <c r="G71" s="786"/>
      <c r="H71" s="786"/>
      <c r="I71" s="786"/>
      <c r="J71" s="786"/>
      <c r="K71" s="786"/>
      <c r="L71" s="786"/>
      <c r="M71" s="786"/>
      <c r="N71" s="786"/>
      <c r="O71" s="786"/>
      <c r="P71" s="786"/>
      <c r="Q71" s="786"/>
      <c r="R71" s="786"/>
    </row>
    <row r="73" spans="1:18" x14ac:dyDescent="0.25">
      <c r="B73" t="s">
        <v>130</v>
      </c>
    </row>
    <row r="75" spans="1:18" x14ac:dyDescent="0.25">
      <c r="B75" t="s">
        <v>131</v>
      </c>
    </row>
    <row r="77" spans="1:18" x14ac:dyDescent="0.25">
      <c r="B77" s="782" t="s">
        <v>132</v>
      </c>
      <c r="C77" s="782"/>
      <c r="D77" s="782"/>
      <c r="E77" s="782"/>
      <c r="F77" s="782"/>
      <c r="G77" s="782"/>
      <c r="H77" s="782"/>
      <c r="I77" s="782"/>
      <c r="J77" s="782"/>
      <c r="K77" s="782"/>
      <c r="L77" s="782"/>
      <c r="M77" s="782"/>
      <c r="N77" s="782"/>
      <c r="O77" s="782"/>
      <c r="P77" s="782"/>
      <c r="Q77" s="782"/>
      <c r="R77" s="782"/>
    </row>
    <row r="78" spans="1:18" x14ac:dyDescent="0.25">
      <c r="B78" s="782"/>
      <c r="C78" s="782"/>
      <c r="D78" s="782"/>
      <c r="E78" s="782"/>
      <c r="F78" s="782"/>
      <c r="G78" s="782"/>
      <c r="H78" s="782"/>
      <c r="I78" s="782"/>
      <c r="J78" s="782"/>
      <c r="K78" s="782"/>
      <c r="L78" s="782"/>
      <c r="M78" s="782"/>
      <c r="N78" s="782"/>
      <c r="O78" s="782"/>
      <c r="P78" s="782"/>
      <c r="Q78" s="782"/>
      <c r="R78" s="782"/>
    </row>
    <row r="80" spans="1:18" x14ac:dyDescent="0.25">
      <c r="A80" t="s">
        <v>133</v>
      </c>
      <c r="B80" t="s">
        <v>134</v>
      </c>
    </row>
    <row r="81" spans="1:18" x14ac:dyDescent="0.25">
      <c r="B81" t="s">
        <v>135</v>
      </c>
    </row>
    <row r="83" spans="1:18" x14ac:dyDescent="0.25">
      <c r="A83" t="s">
        <v>136</v>
      </c>
      <c r="B83" t="s">
        <v>137</v>
      </c>
    </row>
    <row r="85" spans="1:18" x14ac:dyDescent="0.25">
      <c r="B85" t="s">
        <v>138</v>
      </c>
    </row>
    <row r="86" spans="1:18" x14ac:dyDescent="0.25">
      <c r="B86" s="786" t="s">
        <v>139</v>
      </c>
      <c r="C86" s="786"/>
      <c r="D86" s="786"/>
      <c r="E86" s="786"/>
      <c r="F86" s="786"/>
      <c r="G86" s="786"/>
      <c r="H86" s="786"/>
      <c r="I86" s="786"/>
      <c r="J86" s="786"/>
      <c r="K86" s="786"/>
      <c r="L86" s="786"/>
      <c r="M86" s="786"/>
      <c r="N86" s="786"/>
      <c r="O86" s="786"/>
      <c r="P86" s="786"/>
      <c r="Q86" s="786"/>
      <c r="R86" s="786"/>
    </row>
    <row r="87" spans="1:18" x14ac:dyDescent="0.25">
      <c r="B87" s="786"/>
      <c r="C87" s="786"/>
      <c r="D87" s="786"/>
      <c r="E87" s="786"/>
      <c r="F87" s="786"/>
      <c r="G87" s="786"/>
      <c r="H87" s="786"/>
      <c r="I87" s="786"/>
      <c r="J87" s="786"/>
      <c r="K87" s="786"/>
      <c r="L87" s="786"/>
      <c r="M87" s="786"/>
      <c r="N87" s="786"/>
      <c r="O87" s="786"/>
      <c r="P87" s="786"/>
      <c r="Q87" s="786"/>
      <c r="R87" s="786"/>
    </row>
    <row r="88" spans="1:18" x14ac:dyDescent="0.25">
      <c r="B88" s="786"/>
      <c r="C88" s="786"/>
      <c r="D88" s="786"/>
      <c r="E88" s="786"/>
      <c r="F88" s="786"/>
      <c r="G88" s="786"/>
      <c r="H88" s="786"/>
      <c r="I88" s="786"/>
      <c r="J88" s="786"/>
      <c r="K88" s="786"/>
      <c r="L88" s="786"/>
      <c r="M88" s="786"/>
      <c r="N88" s="786"/>
      <c r="O88" s="786"/>
      <c r="P88" s="786"/>
      <c r="Q88" s="786"/>
      <c r="R88" s="786"/>
    </row>
    <row r="89" spans="1:18" x14ac:dyDescent="0.25">
      <c r="B89" s="786"/>
      <c r="C89" s="786"/>
      <c r="D89" s="786"/>
      <c r="E89" s="786"/>
      <c r="F89" s="786"/>
      <c r="G89" s="786"/>
      <c r="H89" s="786"/>
      <c r="I89" s="786"/>
      <c r="J89" s="786"/>
      <c r="K89" s="786"/>
      <c r="L89" s="786"/>
      <c r="M89" s="786"/>
      <c r="N89" s="786"/>
      <c r="O89" s="786"/>
      <c r="P89" s="786"/>
      <c r="Q89" s="786"/>
      <c r="R89" s="786"/>
    </row>
    <row r="90" spans="1:18" x14ac:dyDescent="0.25">
      <c r="B90" s="786"/>
      <c r="C90" s="786"/>
      <c r="D90" s="786"/>
      <c r="E90" s="786"/>
      <c r="F90" s="786"/>
      <c r="G90" s="786"/>
      <c r="H90" s="786"/>
      <c r="I90" s="786"/>
      <c r="J90" s="786"/>
      <c r="K90" s="786"/>
      <c r="L90" s="786"/>
      <c r="M90" s="786"/>
      <c r="N90" s="786"/>
      <c r="O90" s="786"/>
      <c r="P90" s="786"/>
      <c r="Q90" s="786"/>
      <c r="R90" s="786"/>
    </row>
    <row r="91" spans="1:18" x14ac:dyDescent="0.25">
      <c r="B91" s="786"/>
      <c r="C91" s="786"/>
      <c r="D91" s="786"/>
      <c r="E91" s="786"/>
      <c r="F91" s="786"/>
      <c r="G91" s="786"/>
      <c r="H91" s="786"/>
      <c r="I91" s="786"/>
      <c r="J91" s="786"/>
      <c r="K91" s="786"/>
      <c r="L91" s="786"/>
      <c r="M91" s="786"/>
      <c r="N91" s="786"/>
      <c r="O91" s="786"/>
      <c r="P91" s="786"/>
      <c r="Q91" s="786"/>
      <c r="R91" s="786"/>
    </row>
    <row r="92" spans="1:18" x14ac:dyDescent="0.25">
      <c r="B92" s="786"/>
      <c r="C92" s="786"/>
      <c r="D92" s="786"/>
      <c r="E92" s="786"/>
      <c r="F92" s="786"/>
      <c r="G92" s="786"/>
      <c r="H92" s="786"/>
      <c r="I92" s="786"/>
      <c r="J92" s="786"/>
      <c r="K92" s="786"/>
      <c r="L92" s="786"/>
      <c r="M92" s="786"/>
      <c r="N92" s="786"/>
      <c r="O92" s="786"/>
      <c r="P92" s="786"/>
      <c r="Q92" s="786"/>
      <c r="R92" s="786"/>
    </row>
    <row r="93" spans="1:18" x14ac:dyDescent="0.25">
      <c r="B93" s="786"/>
      <c r="C93" s="786"/>
      <c r="D93" s="786"/>
      <c r="E93" s="786"/>
      <c r="F93" s="786"/>
      <c r="G93" s="786"/>
      <c r="H93" s="786"/>
      <c r="I93" s="786"/>
      <c r="J93" s="786"/>
      <c r="K93" s="786"/>
      <c r="L93" s="786"/>
      <c r="M93" s="786"/>
      <c r="N93" s="786"/>
      <c r="O93" s="786"/>
      <c r="P93" s="786"/>
      <c r="Q93" s="786"/>
      <c r="R93" s="786"/>
    </row>
    <row r="94" spans="1:18" x14ac:dyDescent="0.25">
      <c r="B94" s="786"/>
      <c r="C94" s="786"/>
      <c r="D94" s="786"/>
      <c r="E94" s="786"/>
      <c r="F94" s="786"/>
      <c r="G94" s="786"/>
      <c r="H94" s="786"/>
      <c r="I94" s="786"/>
      <c r="J94" s="786"/>
      <c r="K94" s="786"/>
      <c r="L94" s="786"/>
      <c r="M94" s="786"/>
      <c r="N94" s="786"/>
      <c r="O94" s="786"/>
      <c r="P94" s="786"/>
      <c r="Q94" s="786"/>
      <c r="R94" s="786"/>
    </row>
    <row r="95" spans="1:18" x14ac:dyDescent="0.25">
      <c r="B95" s="786"/>
      <c r="C95" s="786"/>
      <c r="D95" s="786"/>
      <c r="E95" s="786"/>
      <c r="F95" s="786"/>
      <c r="G95" s="786"/>
      <c r="H95" s="786"/>
      <c r="I95" s="786"/>
      <c r="J95" s="786"/>
      <c r="K95" s="786"/>
      <c r="L95" s="786"/>
      <c r="M95" s="786"/>
      <c r="N95" s="786"/>
      <c r="O95" s="786"/>
      <c r="P95" s="786"/>
      <c r="Q95" s="786"/>
      <c r="R95" s="786"/>
    </row>
    <row r="97" spans="1:18" x14ac:dyDescent="0.25">
      <c r="B97" t="s">
        <v>140</v>
      </c>
    </row>
    <row r="98" spans="1:18" x14ac:dyDescent="0.25">
      <c r="B98" s="786" t="s">
        <v>141</v>
      </c>
      <c r="C98" s="786"/>
      <c r="D98" s="786"/>
      <c r="E98" s="786"/>
      <c r="F98" s="786"/>
      <c r="G98" s="786"/>
      <c r="H98" s="786"/>
      <c r="I98" s="786"/>
      <c r="J98" s="786"/>
      <c r="K98" s="786"/>
      <c r="L98" s="786"/>
      <c r="M98" s="786"/>
      <c r="N98" s="786"/>
      <c r="O98" s="786"/>
      <c r="P98" s="786"/>
      <c r="Q98" s="786"/>
      <c r="R98" s="786"/>
    </row>
    <row r="99" spans="1:18" x14ac:dyDescent="0.25">
      <c r="B99" s="786"/>
      <c r="C99" s="786"/>
      <c r="D99" s="786"/>
      <c r="E99" s="786"/>
      <c r="F99" s="786"/>
      <c r="G99" s="786"/>
      <c r="H99" s="786"/>
      <c r="I99" s="786"/>
      <c r="J99" s="786"/>
      <c r="K99" s="786"/>
      <c r="L99" s="786"/>
      <c r="M99" s="786"/>
      <c r="N99" s="786"/>
      <c r="O99" s="786"/>
      <c r="P99" s="786"/>
      <c r="Q99" s="786"/>
      <c r="R99" s="786"/>
    </row>
    <row r="100" spans="1:18" x14ac:dyDescent="0.25">
      <c r="B100" s="786"/>
      <c r="C100" s="786"/>
      <c r="D100" s="786"/>
      <c r="E100" s="786"/>
      <c r="F100" s="786"/>
      <c r="G100" s="786"/>
      <c r="H100" s="786"/>
      <c r="I100" s="786"/>
      <c r="J100" s="786"/>
      <c r="K100" s="786"/>
      <c r="L100" s="786"/>
      <c r="M100" s="786"/>
      <c r="N100" s="786"/>
      <c r="O100" s="786"/>
      <c r="P100" s="786"/>
      <c r="Q100" s="786"/>
      <c r="R100" s="786"/>
    </row>
    <row r="101" spans="1:18" x14ac:dyDescent="0.25">
      <c r="B101" s="786"/>
      <c r="C101" s="786"/>
      <c r="D101" s="786"/>
      <c r="E101" s="786"/>
      <c r="F101" s="786"/>
      <c r="G101" s="786"/>
      <c r="H101" s="786"/>
      <c r="I101" s="786"/>
      <c r="J101" s="786"/>
      <c r="K101" s="786"/>
      <c r="L101" s="786"/>
      <c r="M101" s="786"/>
      <c r="N101" s="786"/>
      <c r="O101" s="786"/>
      <c r="P101" s="786"/>
      <c r="Q101" s="786"/>
      <c r="R101" s="786"/>
    </row>
    <row r="102" spans="1:18" x14ac:dyDescent="0.25">
      <c r="B102" s="786"/>
      <c r="C102" s="786"/>
      <c r="D102" s="786"/>
      <c r="E102" s="786"/>
      <c r="F102" s="786"/>
      <c r="G102" s="786"/>
      <c r="H102" s="786"/>
      <c r="I102" s="786"/>
      <c r="J102" s="786"/>
      <c r="K102" s="786"/>
      <c r="L102" s="786"/>
      <c r="M102" s="786"/>
      <c r="N102" s="786"/>
      <c r="O102" s="786"/>
      <c r="P102" s="786"/>
      <c r="Q102" s="786"/>
      <c r="R102" s="786"/>
    </row>
    <row r="103" spans="1:18" x14ac:dyDescent="0.25">
      <c r="B103" s="786"/>
      <c r="C103" s="786"/>
      <c r="D103" s="786"/>
      <c r="E103" s="786"/>
      <c r="F103" s="786"/>
      <c r="G103" s="786"/>
      <c r="H103" s="786"/>
      <c r="I103" s="786"/>
      <c r="J103" s="786"/>
      <c r="K103" s="786"/>
      <c r="L103" s="786"/>
      <c r="M103" s="786"/>
      <c r="N103" s="786"/>
      <c r="O103" s="786"/>
      <c r="P103" s="786"/>
      <c r="Q103" s="786"/>
      <c r="R103" s="786"/>
    </row>
    <row r="104" spans="1:18" x14ac:dyDescent="0.25">
      <c r="B104" s="786"/>
      <c r="C104" s="786"/>
      <c r="D104" s="786"/>
      <c r="E104" s="786"/>
      <c r="F104" s="786"/>
      <c r="G104" s="786"/>
      <c r="H104" s="786"/>
      <c r="I104" s="786"/>
      <c r="J104" s="786"/>
      <c r="K104" s="786"/>
      <c r="L104" s="786"/>
      <c r="M104" s="786"/>
      <c r="N104" s="786"/>
      <c r="O104" s="786"/>
      <c r="P104" s="786"/>
      <c r="Q104" s="786"/>
      <c r="R104" s="786"/>
    </row>
    <row r="106" spans="1:18" x14ac:dyDescent="0.25">
      <c r="A106" t="s">
        <v>142</v>
      </c>
      <c r="B106" t="s">
        <v>143</v>
      </c>
    </row>
    <row r="107" spans="1:18" x14ac:dyDescent="0.25">
      <c r="B107" s="783" t="s">
        <v>144</v>
      </c>
      <c r="C107" s="783"/>
      <c r="D107" s="783"/>
      <c r="E107" s="783"/>
      <c r="F107" s="783"/>
      <c r="G107" s="783"/>
      <c r="H107" s="783"/>
      <c r="I107" s="783"/>
      <c r="J107" s="783"/>
      <c r="K107" s="783"/>
      <c r="L107" s="783"/>
      <c r="M107" s="783"/>
      <c r="N107" s="783"/>
      <c r="O107" s="783"/>
      <c r="P107" s="783"/>
      <c r="Q107" s="783"/>
      <c r="R107" s="783"/>
    </row>
    <row r="108" spans="1:18" x14ac:dyDescent="0.25">
      <c r="B108" s="783"/>
      <c r="C108" s="783"/>
      <c r="D108" s="783"/>
      <c r="E108" s="783"/>
      <c r="F108" s="783"/>
      <c r="G108" s="783"/>
      <c r="H108" s="783"/>
      <c r="I108" s="783"/>
      <c r="J108" s="783"/>
      <c r="K108" s="783"/>
      <c r="L108" s="783"/>
      <c r="M108" s="783"/>
      <c r="N108" s="783"/>
      <c r="O108" s="783"/>
      <c r="P108" s="783"/>
      <c r="Q108" s="783"/>
      <c r="R108" s="783"/>
    </row>
    <row r="109" spans="1:18" x14ac:dyDescent="0.25">
      <c r="B109" s="783"/>
      <c r="C109" s="783"/>
      <c r="D109" s="783"/>
      <c r="E109" s="783"/>
      <c r="F109" s="783"/>
      <c r="G109" s="783"/>
      <c r="H109" s="783"/>
      <c r="I109" s="783"/>
      <c r="J109" s="783"/>
      <c r="K109" s="783"/>
      <c r="L109" s="783"/>
      <c r="M109" s="783"/>
      <c r="N109" s="783"/>
      <c r="O109" s="783"/>
      <c r="P109" s="783"/>
      <c r="Q109" s="783"/>
      <c r="R109" s="783"/>
    </row>
    <row r="110" spans="1:18" x14ac:dyDescent="0.25">
      <c r="B110" s="783"/>
      <c r="C110" s="783"/>
      <c r="D110" s="783"/>
      <c r="E110" s="783"/>
      <c r="F110" s="783"/>
      <c r="G110" s="783"/>
      <c r="H110" s="783"/>
      <c r="I110" s="783"/>
      <c r="J110" s="783"/>
      <c r="K110" s="783"/>
      <c r="L110" s="783"/>
      <c r="M110" s="783"/>
      <c r="N110" s="783"/>
      <c r="O110" s="783"/>
      <c r="P110" s="783"/>
      <c r="Q110" s="783"/>
      <c r="R110" s="783"/>
    </row>
    <row r="111" spans="1:18" x14ac:dyDescent="0.25">
      <c r="B111" s="783"/>
      <c r="C111" s="783"/>
      <c r="D111" s="783"/>
      <c r="E111" s="783"/>
      <c r="F111" s="783"/>
      <c r="G111" s="783"/>
      <c r="H111" s="783"/>
      <c r="I111" s="783"/>
      <c r="J111" s="783"/>
      <c r="K111" s="783"/>
      <c r="L111" s="783"/>
      <c r="M111" s="783"/>
      <c r="N111" s="783"/>
      <c r="O111" s="783"/>
      <c r="P111" s="783"/>
      <c r="Q111" s="783"/>
      <c r="R111" s="783"/>
    </row>
    <row r="112" spans="1:18" x14ac:dyDescent="0.25">
      <c r="B112" s="783"/>
      <c r="C112" s="783"/>
      <c r="D112" s="783"/>
      <c r="E112" s="783"/>
      <c r="F112" s="783"/>
      <c r="G112" s="783"/>
      <c r="H112" s="783"/>
      <c r="I112" s="783"/>
      <c r="J112" s="783"/>
      <c r="K112" s="783"/>
      <c r="L112" s="783"/>
      <c r="M112" s="783"/>
      <c r="N112" s="783"/>
      <c r="O112" s="783"/>
      <c r="P112" s="783"/>
      <c r="Q112" s="783"/>
      <c r="R112" s="783"/>
    </row>
    <row r="114" spans="1:2" x14ac:dyDescent="0.25">
      <c r="A114" t="s">
        <v>145</v>
      </c>
      <c r="B114" t="s">
        <v>146</v>
      </c>
    </row>
    <row r="115" spans="1:2" x14ac:dyDescent="0.25">
      <c r="B115" t="s">
        <v>147</v>
      </c>
    </row>
    <row r="116" spans="1:2" x14ac:dyDescent="0.25">
      <c r="B116" t="s">
        <v>148</v>
      </c>
    </row>
    <row r="117" spans="1:2" x14ac:dyDescent="0.25">
      <c r="B117" t="s">
        <v>149</v>
      </c>
    </row>
    <row r="119" spans="1:2" x14ac:dyDescent="0.25">
      <c r="A119" t="s">
        <v>150</v>
      </c>
      <c r="B119" t="s">
        <v>151</v>
      </c>
    </row>
    <row r="120" spans="1:2" x14ac:dyDescent="0.25">
      <c r="B120" t="s">
        <v>152</v>
      </c>
    </row>
    <row r="122" spans="1:2" x14ac:dyDescent="0.25">
      <c r="A122" t="s">
        <v>153</v>
      </c>
      <c r="B122" t="s">
        <v>154</v>
      </c>
    </row>
    <row r="123" spans="1:2" x14ac:dyDescent="0.25">
      <c r="B123" t="s">
        <v>155</v>
      </c>
    </row>
    <row r="124" spans="1:2" x14ac:dyDescent="0.25">
      <c r="B124" t="s">
        <v>156</v>
      </c>
    </row>
    <row r="126" spans="1:2" x14ac:dyDescent="0.25">
      <c r="A126" t="s">
        <v>157</v>
      </c>
      <c r="B126" t="s">
        <v>158</v>
      </c>
    </row>
    <row r="127" spans="1:2" x14ac:dyDescent="0.25">
      <c r="B127" t="s">
        <v>159</v>
      </c>
    </row>
    <row r="129" spans="1:2" x14ac:dyDescent="0.25">
      <c r="A129" t="s">
        <v>160</v>
      </c>
      <c r="B129" t="s">
        <v>161</v>
      </c>
    </row>
    <row r="131" spans="1:2" x14ac:dyDescent="0.25">
      <c r="A131" t="s">
        <v>162</v>
      </c>
      <c r="B131" t="s">
        <v>163</v>
      </c>
    </row>
    <row r="133" spans="1:2" x14ac:dyDescent="0.25">
      <c r="A133" t="s">
        <v>164</v>
      </c>
      <c r="B133" t="s">
        <v>165</v>
      </c>
    </row>
    <row r="135" spans="1:2" x14ac:dyDescent="0.25">
      <c r="A135" t="s">
        <v>166</v>
      </c>
      <c r="B135" t="s">
        <v>167</v>
      </c>
    </row>
    <row r="137" spans="1:2" x14ac:dyDescent="0.25">
      <c r="A137" t="s">
        <v>168</v>
      </c>
    </row>
    <row r="139" spans="1:2" x14ac:dyDescent="0.25">
      <c r="A139" t="s">
        <v>169</v>
      </c>
    </row>
    <row r="141" spans="1:2" x14ac:dyDescent="0.25">
      <c r="A141" t="s">
        <v>170</v>
      </c>
    </row>
    <row r="143" spans="1:2" x14ac:dyDescent="0.25">
      <c r="A143" t="s">
        <v>171</v>
      </c>
    </row>
    <row r="145" spans="1:1" x14ac:dyDescent="0.25">
      <c r="A145" t="s">
        <v>172</v>
      </c>
    </row>
    <row r="147" spans="1:1" x14ac:dyDescent="0.25">
      <c r="A147" t="s">
        <v>380</v>
      </c>
    </row>
    <row r="148" spans="1:1" x14ac:dyDescent="0.25">
      <c r="A148" t="s">
        <v>383</v>
      </c>
    </row>
    <row r="149" spans="1:1" x14ac:dyDescent="0.25">
      <c r="A149" t="s">
        <v>384</v>
      </c>
    </row>
    <row r="151" spans="1:1" x14ac:dyDescent="0.25">
      <c r="A151" t="s">
        <v>387</v>
      </c>
    </row>
    <row r="152" spans="1:1" x14ac:dyDescent="0.25">
      <c r="A152" t="s">
        <v>391</v>
      </c>
    </row>
    <row r="153" spans="1:1" x14ac:dyDescent="0.25">
      <c r="A153" t="s">
        <v>432</v>
      </c>
    </row>
    <row r="155" spans="1:1" x14ac:dyDescent="0.25">
      <c r="A155" t="s">
        <v>441</v>
      </c>
    </row>
    <row r="156" spans="1:1" x14ac:dyDescent="0.25">
      <c r="A156" t="s">
        <v>450</v>
      </c>
    </row>
    <row r="157" spans="1:1" x14ac:dyDescent="0.25">
      <c r="A157" t="s">
        <v>457</v>
      </c>
    </row>
  </sheetData>
  <sheetProtection algorithmName="SHA-512" hashValue="5b872HSlw9ckuLIbktDUos5JZk50+FPEv0X7w8O9EWVeXIpukZeD10K/dLtnlIpioQmLg6GpMc26yRJSE+G35w==" saltValue="hNdEFmzR+WlN9bCnun3JoQ==" spinCount="100000" sheet="1" objects="1" scenarios="1"/>
  <mergeCells count="14">
    <mergeCell ref="B98:R104"/>
    <mergeCell ref="B107:R112"/>
    <mergeCell ref="B41:Q43"/>
    <mergeCell ref="B52:Q60"/>
    <mergeCell ref="B63:R67"/>
    <mergeCell ref="B69:R71"/>
    <mergeCell ref="B77:R78"/>
    <mergeCell ref="B86:R95"/>
    <mergeCell ref="B33:Q38"/>
    <mergeCell ref="B4:Q10"/>
    <mergeCell ref="B13:Q21"/>
    <mergeCell ref="B25:Q25"/>
    <mergeCell ref="B27:Q27"/>
    <mergeCell ref="B29:Q30"/>
  </mergeCells>
  <pageMargins left="0.7" right="0.7" top="0.75" bottom="0.75" header="0.3" footer="0.3"/>
  <pageSetup scale="71"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9D3E2-0371-4EBA-A5F2-DC4672D6915B}">
  <sheetPr codeName="Sheet8"/>
  <dimension ref="A1:U47"/>
  <sheetViews>
    <sheetView zoomScale="85" zoomScaleNormal="85" workbookViewId="0">
      <selection activeCell="I42" sqref="I42:I43"/>
    </sheetView>
  </sheetViews>
  <sheetFormatPr defaultRowHeight="15" x14ac:dyDescent="0.25"/>
  <cols>
    <col min="18" max="18" width="17" customWidth="1"/>
    <col min="19" max="19" width="15.140625" customWidth="1"/>
    <col min="20" max="20" width="43.28515625" style="36" customWidth="1"/>
    <col min="21" max="21" width="49.140625" customWidth="1"/>
  </cols>
  <sheetData>
    <row r="1" spans="1:21" ht="18" x14ac:dyDescent="0.25">
      <c r="A1" s="148"/>
    </row>
    <row r="2" spans="1:21" x14ac:dyDescent="0.25">
      <c r="Q2" s="787" t="s">
        <v>173</v>
      </c>
      <c r="R2" s="787"/>
    </row>
    <row r="7" spans="1:21" x14ac:dyDescent="0.25">
      <c r="S7" s="149" t="s">
        <v>174</v>
      </c>
      <c r="T7" s="150" t="s">
        <v>175</v>
      </c>
      <c r="U7" s="149" t="s">
        <v>176</v>
      </c>
    </row>
    <row r="8" spans="1:21" x14ac:dyDescent="0.25">
      <c r="S8" s="149" t="s">
        <v>177</v>
      </c>
      <c r="T8" s="150" t="s">
        <v>178</v>
      </c>
      <c r="U8" s="149" t="s">
        <v>179</v>
      </c>
    </row>
    <row r="9" spans="1:21" x14ac:dyDescent="0.25">
      <c r="P9" s="149" t="s">
        <v>180</v>
      </c>
      <c r="S9" s="149" t="s">
        <v>181</v>
      </c>
      <c r="T9" s="150" t="s">
        <v>182</v>
      </c>
      <c r="U9" s="149" t="s">
        <v>183</v>
      </c>
    </row>
    <row r="10" spans="1:21" x14ac:dyDescent="0.25">
      <c r="S10" s="149" t="s">
        <v>184</v>
      </c>
      <c r="T10" s="150" t="s">
        <v>185</v>
      </c>
      <c r="U10" s="149" t="s">
        <v>186</v>
      </c>
    </row>
    <row r="11" spans="1:21" x14ac:dyDescent="0.25">
      <c r="S11" s="149" t="s">
        <v>187</v>
      </c>
      <c r="T11" s="150" t="s">
        <v>188</v>
      </c>
      <c r="U11" s="149" t="s">
        <v>189</v>
      </c>
    </row>
    <row r="12" spans="1:21" x14ac:dyDescent="0.25">
      <c r="S12" s="149" t="s">
        <v>190</v>
      </c>
      <c r="T12" s="150" t="s">
        <v>191</v>
      </c>
      <c r="U12" s="149" t="s">
        <v>192</v>
      </c>
    </row>
    <row r="13" spans="1:21" ht="26.25" x14ac:dyDescent="0.25">
      <c r="S13" s="149" t="s">
        <v>193</v>
      </c>
      <c r="T13" s="150" t="s">
        <v>194</v>
      </c>
    </row>
    <row r="14" spans="1:21" x14ac:dyDescent="0.25">
      <c r="S14" s="149" t="s">
        <v>195</v>
      </c>
      <c r="T14" s="150" t="s">
        <v>196</v>
      </c>
      <c r="U14" s="149" t="s">
        <v>197</v>
      </c>
    </row>
    <row r="15" spans="1:21" x14ac:dyDescent="0.25">
      <c r="S15" s="149" t="s">
        <v>198</v>
      </c>
      <c r="T15" s="150" t="s">
        <v>199</v>
      </c>
      <c r="U15" s="149" t="s">
        <v>179</v>
      </c>
    </row>
    <row r="16" spans="1:21" x14ac:dyDescent="0.25">
      <c r="S16" s="149" t="s">
        <v>200</v>
      </c>
      <c r="T16" s="150" t="s">
        <v>201</v>
      </c>
      <c r="U16" s="149" t="s">
        <v>197</v>
      </c>
    </row>
    <row r="17" spans="15:21" x14ac:dyDescent="0.25">
      <c r="S17" s="149" t="s">
        <v>202</v>
      </c>
      <c r="T17" s="150" t="s">
        <v>203</v>
      </c>
      <c r="U17" s="151" t="s">
        <v>204</v>
      </c>
    </row>
    <row r="18" spans="15:21" x14ac:dyDescent="0.25">
      <c r="P18" s="788" t="s">
        <v>205</v>
      </c>
      <c r="Q18" s="788"/>
      <c r="S18" s="149" t="s">
        <v>206</v>
      </c>
      <c r="T18" s="150" t="s">
        <v>207</v>
      </c>
      <c r="U18" s="149" t="s">
        <v>179</v>
      </c>
    </row>
    <row r="19" spans="15:21" x14ac:dyDescent="0.25">
      <c r="S19" s="149" t="s">
        <v>208</v>
      </c>
      <c r="T19" s="150" t="s">
        <v>209</v>
      </c>
      <c r="U19" s="149" t="s">
        <v>210</v>
      </c>
    </row>
    <row r="20" spans="15:21" x14ac:dyDescent="0.25">
      <c r="S20" s="149" t="s">
        <v>211</v>
      </c>
      <c r="T20" s="150" t="s">
        <v>212</v>
      </c>
      <c r="U20" s="149" t="s">
        <v>213</v>
      </c>
    </row>
    <row r="21" spans="15:21" x14ac:dyDescent="0.25">
      <c r="S21" s="149" t="s">
        <v>214</v>
      </c>
      <c r="T21" s="150" t="s">
        <v>215</v>
      </c>
      <c r="U21" s="149" t="s">
        <v>216</v>
      </c>
    </row>
    <row r="22" spans="15:21" ht="30" x14ac:dyDescent="0.25">
      <c r="Q22" s="151" t="s">
        <v>217</v>
      </c>
      <c r="S22" s="149" t="s">
        <v>218</v>
      </c>
      <c r="T22" s="36" t="s">
        <v>219</v>
      </c>
      <c r="U22" s="149" t="s">
        <v>220</v>
      </c>
    </row>
    <row r="23" spans="15:21" x14ac:dyDescent="0.25">
      <c r="S23" s="149" t="s">
        <v>221</v>
      </c>
      <c r="T23" s="150" t="s">
        <v>222</v>
      </c>
      <c r="U23" s="149" t="s">
        <v>223</v>
      </c>
    </row>
    <row r="24" spans="15:21" x14ac:dyDescent="0.25">
      <c r="O24" s="152" t="s">
        <v>224</v>
      </c>
      <c r="P24" s="152"/>
      <c r="S24" s="149" t="s">
        <v>225</v>
      </c>
      <c r="T24" s="150" t="s">
        <v>226</v>
      </c>
      <c r="U24" s="149" t="s">
        <v>227</v>
      </c>
    </row>
    <row r="25" spans="15:21" x14ac:dyDescent="0.25">
      <c r="R25" s="153"/>
      <c r="S25" s="149" t="s">
        <v>228</v>
      </c>
      <c r="T25" s="150" t="s">
        <v>229</v>
      </c>
      <c r="U25" s="149" t="s">
        <v>230</v>
      </c>
    </row>
    <row r="26" spans="15:21" ht="26.25" x14ac:dyDescent="0.25">
      <c r="S26" s="149" t="s">
        <v>231</v>
      </c>
      <c r="T26" s="150" t="s">
        <v>232</v>
      </c>
      <c r="U26" s="149" t="s">
        <v>233</v>
      </c>
    </row>
    <row r="27" spans="15:21" x14ac:dyDescent="0.25">
      <c r="S27" s="149" t="s">
        <v>234</v>
      </c>
      <c r="T27" s="150" t="s">
        <v>235</v>
      </c>
      <c r="U27" s="149" t="s">
        <v>236</v>
      </c>
    </row>
    <row r="28" spans="15:21" x14ac:dyDescent="0.25">
      <c r="S28" s="154" t="s">
        <v>237</v>
      </c>
      <c r="T28" s="150" t="s">
        <v>238</v>
      </c>
    </row>
    <row r="29" spans="15:21" x14ac:dyDescent="0.25">
      <c r="S29" s="154" t="s">
        <v>239</v>
      </c>
      <c r="T29" s="155" t="s">
        <v>240</v>
      </c>
      <c r="U29" s="154" t="s">
        <v>241</v>
      </c>
    </row>
    <row r="30" spans="15:21" ht="26.25" x14ac:dyDescent="0.25">
      <c r="S30" s="154" t="s">
        <v>242</v>
      </c>
      <c r="T30" s="155" t="s">
        <v>243</v>
      </c>
      <c r="U30" s="154" t="s">
        <v>244</v>
      </c>
    </row>
    <row r="31" spans="15:21" x14ac:dyDescent="0.25">
      <c r="S31" s="154" t="s">
        <v>245</v>
      </c>
      <c r="T31" s="155" t="s">
        <v>246</v>
      </c>
      <c r="U31" s="154" t="s">
        <v>247</v>
      </c>
    </row>
    <row r="32" spans="15:21" x14ac:dyDescent="0.25">
      <c r="O32" s="151" t="s">
        <v>248</v>
      </c>
      <c r="S32" s="154" t="s">
        <v>249</v>
      </c>
      <c r="T32" s="155" t="s">
        <v>250</v>
      </c>
      <c r="U32" s="154" t="s">
        <v>251</v>
      </c>
    </row>
    <row r="33" spans="1:21" x14ac:dyDescent="0.25">
      <c r="S33" s="149" t="s">
        <v>252</v>
      </c>
      <c r="T33" s="36" t="s">
        <v>253</v>
      </c>
      <c r="U33" t="s">
        <v>254</v>
      </c>
    </row>
    <row r="34" spans="1:21" ht="26.25" x14ac:dyDescent="0.25">
      <c r="S34" s="149" t="s">
        <v>255</v>
      </c>
      <c r="T34" s="150" t="s">
        <v>256</v>
      </c>
      <c r="U34" t="s">
        <v>257</v>
      </c>
    </row>
    <row r="35" spans="1:21" x14ac:dyDescent="0.25">
      <c r="S35" s="154" t="s">
        <v>258</v>
      </c>
      <c r="T35" s="36" t="s">
        <v>259</v>
      </c>
    </row>
    <row r="36" spans="1:21" x14ac:dyDescent="0.25">
      <c r="S36" s="154" t="s">
        <v>260</v>
      </c>
      <c r="T36" s="36" t="s">
        <v>259</v>
      </c>
    </row>
    <row r="37" spans="1:21" x14ac:dyDescent="0.25">
      <c r="O37" s="154"/>
      <c r="Q37" s="156"/>
      <c r="R37" s="156"/>
      <c r="S37" s="156"/>
      <c r="T37" s="157"/>
    </row>
    <row r="47" spans="1:21" x14ac:dyDescent="0.25">
      <c r="A47" s="149" t="s">
        <v>261</v>
      </c>
    </row>
  </sheetData>
  <sheetProtection password="94FC" sheet="1" objects="1" scenarios="1"/>
  <mergeCells count="2">
    <mergeCell ref="Q2:R2"/>
    <mergeCell ref="P18:Q18"/>
  </mergeCells>
  <pageMargins left="0.7" right="0.7" top="0.75" bottom="0.75" header="0.3" footer="0.3"/>
  <pageSetup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B43AF-0EE1-40C6-AB91-E8087F920E8D}">
  <sheetPr codeName="Sheet3"/>
  <dimension ref="A1:I46"/>
  <sheetViews>
    <sheetView workbookViewId="0">
      <selection activeCell="O20" sqref="O20"/>
    </sheetView>
  </sheetViews>
  <sheetFormatPr defaultRowHeight="15" x14ac:dyDescent="0.25"/>
  <cols>
    <col min="1" max="1" width="49.42578125" bestFit="1" customWidth="1"/>
    <col min="2" max="2" width="9.5703125" bestFit="1" customWidth="1"/>
    <col min="3" max="3" width="9.28515625" bestFit="1" customWidth="1"/>
    <col min="4" max="7" width="9" bestFit="1" customWidth="1"/>
  </cols>
  <sheetData>
    <row r="1" spans="1:9" ht="31.5" customHeight="1" thickBot="1" x14ac:dyDescent="0.3">
      <c r="A1" s="365" t="s">
        <v>262</v>
      </c>
      <c r="B1" s="793" t="s">
        <v>263</v>
      </c>
      <c r="C1" s="794"/>
      <c r="D1" s="794"/>
      <c r="E1" s="794"/>
      <c r="F1" s="794"/>
      <c r="G1" s="794"/>
      <c r="H1" s="794"/>
      <c r="I1" s="794"/>
    </row>
    <row r="2" spans="1:9" x14ac:dyDescent="0.25">
      <c r="A2" s="340" t="s">
        <v>264</v>
      </c>
      <c r="B2" s="361" t="s">
        <v>265</v>
      </c>
      <c r="C2" s="362" t="s">
        <v>266</v>
      </c>
      <c r="D2" s="791" t="s">
        <v>267</v>
      </c>
      <c r="E2" s="792"/>
      <c r="F2" s="791" t="s">
        <v>268</v>
      </c>
      <c r="G2" s="792"/>
      <c r="H2" s="795" t="s">
        <v>320</v>
      </c>
      <c r="I2" s="796"/>
    </row>
    <row r="3" spans="1:9" x14ac:dyDescent="0.25">
      <c r="A3" s="341" t="s">
        <v>269</v>
      </c>
      <c r="B3" s="342"/>
      <c r="C3" s="343"/>
      <c r="D3" s="368" t="s">
        <v>270</v>
      </c>
      <c r="E3" s="369" t="s">
        <v>271</v>
      </c>
      <c r="F3" s="368" t="s">
        <v>270</v>
      </c>
      <c r="G3" s="369" t="s">
        <v>271</v>
      </c>
      <c r="H3" s="47" t="s">
        <v>270</v>
      </c>
      <c r="I3" s="48" t="s">
        <v>271</v>
      </c>
    </row>
    <row r="4" spans="1:9" ht="15.75" thickBot="1" x14ac:dyDescent="0.3">
      <c r="A4" s="51" t="s">
        <v>272</v>
      </c>
      <c r="B4" s="344"/>
      <c r="C4" s="363">
        <f>IF('PFP Sizing Sheet'!I6="Class N1", 29, IF('PFP Sizing Sheet'!I6="Class N2", 31, "Select Class"))</f>
        <v>31</v>
      </c>
      <c r="D4" s="366">
        <f>$C$4</f>
        <v>31</v>
      </c>
      <c r="E4" s="366">
        <f>$C$4</f>
        <v>31</v>
      </c>
      <c r="F4" s="366">
        <f>$C$4</f>
        <v>31</v>
      </c>
      <c r="G4" s="366">
        <f>$C$4</f>
        <v>31</v>
      </c>
      <c r="H4" s="54">
        <f>E4</f>
        <v>31</v>
      </c>
      <c r="I4" s="55">
        <f>E4</f>
        <v>31</v>
      </c>
    </row>
    <row r="5" spans="1:9" x14ac:dyDescent="0.25">
      <c r="A5" s="56" t="s">
        <v>273</v>
      </c>
      <c r="B5" s="345"/>
      <c r="C5" s="346"/>
      <c r="D5" s="347"/>
      <c r="E5" s="348"/>
      <c r="F5" s="349"/>
      <c r="G5" s="350"/>
      <c r="H5" s="59"/>
      <c r="I5" s="60"/>
    </row>
    <row r="6" spans="1:9" x14ac:dyDescent="0.25">
      <c r="A6" s="61" t="s">
        <v>274</v>
      </c>
      <c r="B6" s="389"/>
      <c r="C6" s="264">
        <v>-1</v>
      </c>
      <c r="D6" s="63">
        <f>C6</f>
        <v>-1</v>
      </c>
      <c r="E6" s="265">
        <f>C6</f>
        <v>-1</v>
      </c>
      <c r="F6" s="266">
        <f>C6</f>
        <v>-1</v>
      </c>
      <c r="G6" s="267">
        <f>$C6</f>
        <v>-1</v>
      </c>
      <c r="H6" s="266">
        <f>E6</f>
        <v>-1</v>
      </c>
      <c r="I6" s="267">
        <f>$C6</f>
        <v>-1</v>
      </c>
    </row>
    <row r="7" spans="1:9" x14ac:dyDescent="0.25">
      <c r="A7" s="64" t="s">
        <v>275</v>
      </c>
      <c r="B7" s="65">
        <v>3</v>
      </c>
      <c r="C7" s="66">
        <v>-0.3</v>
      </c>
      <c r="D7" s="268">
        <f t="shared" ref="D7:I10" si="0">$C7*$B7</f>
        <v>-0.89999999999999991</v>
      </c>
      <c r="E7" s="269">
        <f t="shared" si="0"/>
        <v>-0.89999999999999991</v>
      </c>
      <c r="F7" s="268">
        <f t="shared" si="0"/>
        <v>-0.89999999999999991</v>
      </c>
      <c r="G7" s="269">
        <f t="shared" si="0"/>
        <v>-0.89999999999999991</v>
      </c>
      <c r="H7" s="268">
        <f t="shared" si="0"/>
        <v>-0.89999999999999991</v>
      </c>
      <c r="I7" s="269">
        <f t="shared" si="0"/>
        <v>-0.89999999999999991</v>
      </c>
    </row>
    <row r="8" spans="1:9" x14ac:dyDescent="0.25">
      <c r="A8" s="67" t="s">
        <v>276</v>
      </c>
      <c r="B8" s="372">
        <f>IF(OR('PFP Sizing Sheet'!F$9="Placed",'PFP Sizing Sheet'!F$9="Planned"),1,IF('PFP Sizing Sheet'!F$9="No",0,"Invalid"))</f>
        <v>0</v>
      </c>
      <c r="C8" s="69">
        <v>-1.1000000000000001</v>
      </c>
      <c r="D8" s="268">
        <f>$C8*$B8</f>
        <v>0</v>
      </c>
      <c r="E8" s="269">
        <f t="shared" si="0"/>
        <v>0</v>
      </c>
      <c r="F8" s="268">
        <f t="shared" si="0"/>
        <v>0</v>
      </c>
      <c r="G8" s="269">
        <f t="shared" si="0"/>
        <v>0</v>
      </c>
      <c r="H8" s="268">
        <f t="shared" si="0"/>
        <v>0</v>
      </c>
      <c r="I8" s="269">
        <f t="shared" si="0"/>
        <v>0</v>
      </c>
    </row>
    <row r="9" spans="1:9" x14ac:dyDescent="0.25">
      <c r="A9" s="67" t="s">
        <v>277</v>
      </c>
      <c r="B9" s="372">
        <f>IF(OR('PFP Sizing Sheet'!F$9="Placed",'PFP Sizing Sheet'!F$9="Planned"),1,IF('PFP Sizing Sheet'!F$9="No",0,"Invalid"))</f>
        <v>0</v>
      </c>
      <c r="C9" s="69">
        <v>-0.3</v>
      </c>
      <c r="D9" s="268">
        <f>$C9*$B9</f>
        <v>0</v>
      </c>
      <c r="E9" s="269">
        <f t="shared" si="0"/>
        <v>0</v>
      </c>
      <c r="F9" s="268">
        <f t="shared" si="0"/>
        <v>0</v>
      </c>
      <c r="G9" s="269">
        <f t="shared" si="0"/>
        <v>0</v>
      </c>
      <c r="H9" s="268">
        <f t="shared" si="0"/>
        <v>0</v>
      </c>
      <c r="I9" s="269">
        <f t="shared" si="0"/>
        <v>0</v>
      </c>
    </row>
    <row r="10" spans="1:9" ht="15.75" thickBot="1" x14ac:dyDescent="0.3">
      <c r="A10" s="67" t="s">
        <v>278</v>
      </c>
      <c r="B10" s="68">
        <v>1</v>
      </c>
      <c r="C10" s="69">
        <v>-7.4999999999999997E-2</v>
      </c>
      <c r="D10" s="270">
        <f t="shared" si="0"/>
        <v>-7.4999999999999997E-2</v>
      </c>
      <c r="E10" s="271">
        <f t="shared" si="0"/>
        <v>-7.4999999999999997E-2</v>
      </c>
      <c r="F10" s="270">
        <f t="shared" si="0"/>
        <v>-7.4999999999999997E-2</v>
      </c>
      <c r="G10" s="271">
        <f t="shared" si="0"/>
        <v>-7.4999999999999997E-2</v>
      </c>
      <c r="H10" s="270">
        <f t="shared" si="0"/>
        <v>-7.4999999999999997E-2</v>
      </c>
      <c r="I10" s="271">
        <f t="shared" si="0"/>
        <v>-7.4999999999999997E-2</v>
      </c>
    </row>
    <row r="11" spans="1:9" x14ac:dyDescent="0.25">
      <c r="A11" s="70" t="s">
        <v>279</v>
      </c>
      <c r="B11" s="71"/>
      <c r="C11" s="72"/>
      <c r="D11" s="272"/>
      <c r="E11" s="273"/>
      <c r="F11" s="272"/>
      <c r="G11" s="273"/>
      <c r="H11" s="272"/>
      <c r="I11" s="273"/>
    </row>
    <row r="12" spans="1:9" x14ac:dyDescent="0.25">
      <c r="A12" s="408" t="s">
        <v>280</v>
      </c>
      <c r="B12" s="74">
        <f>IF('PFP Sizing Sheet'!F$10="Yes",1,IF('PFP Sizing Sheet'!F$10="No",0,"Invalid"))</f>
        <v>0</v>
      </c>
      <c r="C12" s="371">
        <v>-0.1</v>
      </c>
      <c r="D12" s="274">
        <f t="shared" ref="D12:I16" si="1">$C12*$B12</f>
        <v>0</v>
      </c>
      <c r="E12" s="275">
        <f t="shared" si="1"/>
        <v>0</v>
      </c>
      <c r="F12" s="274">
        <f t="shared" si="1"/>
        <v>0</v>
      </c>
      <c r="G12" s="275">
        <f t="shared" si="1"/>
        <v>0</v>
      </c>
      <c r="H12" s="274">
        <f t="shared" si="1"/>
        <v>0</v>
      </c>
      <c r="I12" s="275">
        <f t="shared" si="1"/>
        <v>0</v>
      </c>
    </row>
    <row r="13" spans="1:9" x14ac:dyDescent="0.25">
      <c r="A13" s="408" t="s">
        <v>281</v>
      </c>
      <c r="B13" s="74">
        <f>IF('PFP Sizing Sheet'!F$10="Yes",1,IF('PFP Sizing Sheet'!F$10="No",0,"Invalid"))</f>
        <v>0</v>
      </c>
      <c r="C13" s="371">
        <v>-0.9</v>
      </c>
      <c r="D13" s="274">
        <f t="shared" si="1"/>
        <v>0</v>
      </c>
      <c r="E13" s="275">
        <f t="shared" si="1"/>
        <v>0</v>
      </c>
      <c r="F13" s="274">
        <f t="shared" si="1"/>
        <v>0</v>
      </c>
      <c r="G13" s="275">
        <f t="shared" si="1"/>
        <v>0</v>
      </c>
      <c r="H13" s="274">
        <f t="shared" si="1"/>
        <v>0</v>
      </c>
      <c r="I13" s="275">
        <f t="shared" si="1"/>
        <v>0</v>
      </c>
    </row>
    <row r="14" spans="1:9" x14ac:dyDescent="0.25">
      <c r="A14" s="408" t="s">
        <v>282</v>
      </c>
      <c r="B14" s="74">
        <f>IF('PFP Sizing Sheet'!F$10="Yes",1,IF('PFP Sizing Sheet'!F$10="No",0,"Invalid"))</f>
        <v>0</v>
      </c>
      <c r="C14" s="371">
        <v>-0.1</v>
      </c>
      <c r="D14" s="274">
        <f t="shared" si="1"/>
        <v>0</v>
      </c>
      <c r="E14" s="275">
        <f t="shared" si="1"/>
        <v>0</v>
      </c>
      <c r="F14" s="274">
        <f t="shared" si="1"/>
        <v>0</v>
      </c>
      <c r="G14" s="275">
        <f t="shared" si="1"/>
        <v>0</v>
      </c>
      <c r="H14" s="274">
        <f t="shared" si="1"/>
        <v>0</v>
      </c>
      <c r="I14" s="275">
        <f t="shared" si="1"/>
        <v>0</v>
      </c>
    </row>
    <row r="15" spans="1:9" x14ac:dyDescent="0.25">
      <c r="A15" s="73" t="s">
        <v>283</v>
      </c>
      <c r="B15" s="74">
        <v>1</v>
      </c>
      <c r="C15" s="75">
        <f>C24</f>
        <v>-0.1</v>
      </c>
      <c r="D15" s="274">
        <f t="shared" si="1"/>
        <v>-0.1</v>
      </c>
      <c r="E15" s="275">
        <f t="shared" si="1"/>
        <v>-0.1</v>
      </c>
      <c r="F15" s="274">
        <f t="shared" si="1"/>
        <v>-0.1</v>
      </c>
      <c r="G15" s="275">
        <f t="shared" si="1"/>
        <v>-0.1</v>
      </c>
      <c r="H15" s="274">
        <f t="shared" si="1"/>
        <v>-0.1</v>
      </c>
      <c r="I15" s="275">
        <f t="shared" si="1"/>
        <v>-0.1</v>
      </c>
    </row>
    <row r="16" spans="1:9" x14ac:dyDescent="0.25">
      <c r="A16" s="73" t="s">
        <v>284</v>
      </c>
      <c r="B16" s="74">
        <v>1</v>
      </c>
      <c r="C16" s="75">
        <f>$C$18</f>
        <v>-0.35</v>
      </c>
      <c r="D16" s="274">
        <f t="shared" si="1"/>
        <v>-0.35</v>
      </c>
      <c r="E16" s="275">
        <f t="shared" si="1"/>
        <v>-0.35</v>
      </c>
      <c r="F16" s="274">
        <f t="shared" si="1"/>
        <v>-0.35</v>
      </c>
      <c r="G16" s="275">
        <f t="shared" si="1"/>
        <v>-0.35</v>
      </c>
      <c r="H16" s="274">
        <f t="shared" si="1"/>
        <v>-0.35</v>
      </c>
      <c r="I16" s="275">
        <f t="shared" si="1"/>
        <v>-0.35</v>
      </c>
    </row>
    <row r="17" spans="1:9" x14ac:dyDescent="0.25">
      <c r="A17" s="76" t="s">
        <v>285</v>
      </c>
      <c r="B17" s="74">
        <v>1</v>
      </c>
      <c r="C17" s="77" t="s">
        <v>286</v>
      </c>
      <c r="D17" s="78">
        <v>-20.399999999999999</v>
      </c>
      <c r="E17" s="276">
        <f>D17*$B17</f>
        <v>-20.399999999999999</v>
      </c>
      <c r="F17" s="78">
        <v>-17.100000000000001</v>
      </c>
      <c r="G17" s="276">
        <f>F17*$B17</f>
        <v>-17.100000000000001</v>
      </c>
      <c r="H17" s="78">
        <v>-13.7</v>
      </c>
      <c r="I17" s="276">
        <f>H17*$B17</f>
        <v>-13.7</v>
      </c>
    </row>
    <row r="18" spans="1:9" ht="15.75" thickBot="1" x14ac:dyDescent="0.3">
      <c r="A18" s="76" t="s">
        <v>287</v>
      </c>
      <c r="B18" s="79">
        <v>1</v>
      </c>
      <c r="C18" s="77">
        <v>-0.35</v>
      </c>
      <c r="D18" s="277">
        <f>$C18*$B18</f>
        <v>-0.35</v>
      </c>
      <c r="E18" s="276">
        <f>$C18*$B18</f>
        <v>-0.35</v>
      </c>
      <c r="F18" s="277">
        <f>$C18*$B18</f>
        <v>-0.35</v>
      </c>
      <c r="G18" s="276">
        <f>$C18*$B18</f>
        <v>-0.35</v>
      </c>
      <c r="H18" s="277">
        <f t="shared" ref="H18:I18" si="2">$C18*$B18</f>
        <v>-0.35</v>
      </c>
      <c r="I18" s="276">
        <f t="shared" si="2"/>
        <v>-0.35</v>
      </c>
    </row>
    <row r="19" spans="1:9" x14ac:dyDescent="0.25">
      <c r="A19" s="80" t="s">
        <v>288</v>
      </c>
      <c r="B19" s="81"/>
      <c r="C19" s="82"/>
      <c r="D19" s="278"/>
      <c r="E19" s="279"/>
      <c r="F19" s="83"/>
      <c r="G19" s="84"/>
      <c r="H19" s="83"/>
      <c r="I19" s="84"/>
    </row>
    <row r="20" spans="1:9" x14ac:dyDescent="0.25">
      <c r="A20" s="85" t="s">
        <v>210</v>
      </c>
      <c r="B20" s="86">
        <v>4</v>
      </c>
      <c r="C20" s="87">
        <f>C10</f>
        <v>-7.4999999999999997E-2</v>
      </c>
      <c r="D20" s="280">
        <f>$C20*$B20</f>
        <v>-0.3</v>
      </c>
      <c r="E20" s="281">
        <f>$C20*$B20</f>
        <v>-0.3</v>
      </c>
      <c r="F20" s="280">
        <f>$C20*$B20</f>
        <v>-0.3</v>
      </c>
      <c r="G20" s="281">
        <f>$C20*$B20</f>
        <v>-0.3</v>
      </c>
      <c r="H20" s="280">
        <f t="shared" ref="H20:I20" si="3">$C20*$B20</f>
        <v>-0.3</v>
      </c>
      <c r="I20" s="281">
        <f t="shared" si="3"/>
        <v>-0.3</v>
      </c>
    </row>
    <row r="21" spans="1:9" x14ac:dyDescent="0.25">
      <c r="A21" s="88" t="s">
        <v>289</v>
      </c>
      <c r="B21" s="89">
        <v>2</v>
      </c>
      <c r="C21" s="90" t="s">
        <v>290</v>
      </c>
      <c r="D21" s="282">
        <f>$B$44*$B21</f>
        <v>-0.4</v>
      </c>
      <c r="E21" s="283">
        <f>$C$44*$B21</f>
        <v>-0.6</v>
      </c>
      <c r="F21" s="282">
        <f>$B$44*$B21</f>
        <v>-0.4</v>
      </c>
      <c r="G21" s="283">
        <f>$C$44*$B21</f>
        <v>-0.6</v>
      </c>
      <c r="H21" s="282">
        <f>$B$44*$B21</f>
        <v>-0.4</v>
      </c>
      <c r="I21" s="283">
        <f>$C$44*$B21</f>
        <v>-0.6</v>
      </c>
    </row>
    <row r="22" spans="1:9" x14ac:dyDescent="0.25">
      <c r="A22" s="88" t="s">
        <v>291</v>
      </c>
      <c r="B22" s="91">
        <f>'PFP Sizing Sheet'!I9</f>
        <v>2</v>
      </c>
      <c r="C22" s="90">
        <v>-0.35</v>
      </c>
      <c r="D22" s="282">
        <f>$C22*$B22</f>
        <v>-0.7</v>
      </c>
      <c r="E22" s="283">
        <f>$C22*$B22</f>
        <v>-0.7</v>
      </c>
      <c r="F22" s="282">
        <f>$C22*$B22</f>
        <v>-0.7</v>
      </c>
      <c r="G22" s="283">
        <f>$C22*$B22</f>
        <v>-0.7</v>
      </c>
      <c r="H22" s="282">
        <f t="shared" ref="H22:I23" si="4">$C22*$B22</f>
        <v>-0.7</v>
      </c>
      <c r="I22" s="283">
        <f t="shared" si="4"/>
        <v>-0.7</v>
      </c>
    </row>
    <row r="23" spans="1:9" x14ac:dyDescent="0.25">
      <c r="A23" s="92" t="s">
        <v>292</v>
      </c>
      <c r="B23" s="89">
        <v>1</v>
      </c>
      <c r="C23" s="93">
        <v>-0.35</v>
      </c>
      <c r="D23" s="284">
        <f>B23*C23</f>
        <v>-0.35</v>
      </c>
      <c r="E23" s="283">
        <f>B23*C23</f>
        <v>-0.35</v>
      </c>
      <c r="F23" s="282">
        <f>B23*C23</f>
        <v>-0.35</v>
      </c>
      <c r="G23" s="283">
        <f>B23*C23</f>
        <v>-0.35</v>
      </c>
      <c r="H23" s="282">
        <f>$B23*$C23</f>
        <v>-0.35</v>
      </c>
      <c r="I23" s="283">
        <f t="shared" si="4"/>
        <v>-0.35</v>
      </c>
    </row>
    <row r="24" spans="1:9" x14ac:dyDescent="0.25">
      <c r="A24" s="88" t="s">
        <v>293</v>
      </c>
      <c r="B24" s="89">
        <f>2-B22</f>
        <v>0</v>
      </c>
      <c r="C24" s="90">
        <v>-0.1</v>
      </c>
      <c r="D24" s="282">
        <f>$C24*$B24</f>
        <v>0</v>
      </c>
      <c r="E24" s="283">
        <f>$C24*$B24</f>
        <v>0</v>
      </c>
      <c r="F24" s="282">
        <f>$C24*$B24</f>
        <v>0</v>
      </c>
      <c r="G24" s="283">
        <f>$C24*$B24</f>
        <v>0</v>
      </c>
      <c r="H24" s="282">
        <f t="shared" ref="H24:I24" si="5">$C24*$B24</f>
        <v>0</v>
      </c>
      <c r="I24" s="283">
        <f t="shared" si="5"/>
        <v>0</v>
      </c>
    </row>
    <row r="25" spans="1:9" x14ac:dyDescent="0.25">
      <c r="A25" s="94" t="s">
        <v>294</v>
      </c>
      <c r="B25" s="89">
        <v>0.5</v>
      </c>
      <c r="C25" s="95" t="s">
        <v>295</v>
      </c>
      <c r="D25" s="282">
        <f>$B25*$B$43</f>
        <v>-6.5548780487804881E-2</v>
      </c>
      <c r="E25" s="283">
        <f>$B25*$C$43</f>
        <v>-4.573170731707317E-2</v>
      </c>
      <c r="F25" s="282">
        <f>$B25*$B$43</f>
        <v>-6.5548780487804881E-2</v>
      </c>
      <c r="G25" s="283">
        <f>$B25*$C$43</f>
        <v>-4.573170731707317E-2</v>
      </c>
      <c r="H25" s="282">
        <f>$B25*$B$43</f>
        <v>-6.5548780487804881E-2</v>
      </c>
      <c r="I25" s="283">
        <f>$B25*$C$43</f>
        <v>-4.573170731707317E-2</v>
      </c>
    </row>
    <row r="26" spans="1:9" x14ac:dyDescent="0.25">
      <c r="A26" s="96" t="s">
        <v>296</v>
      </c>
      <c r="B26" s="97">
        <v>1</v>
      </c>
      <c r="C26" s="93">
        <v>-0.35</v>
      </c>
      <c r="D26" s="284">
        <f>B26*C26</f>
        <v>-0.35</v>
      </c>
      <c r="E26" s="283">
        <f>B26*C26</f>
        <v>-0.35</v>
      </c>
      <c r="F26" s="282">
        <f>B26*C26</f>
        <v>-0.35</v>
      </c>
      <c r="G26" s="283">
        <f>B26*C26</f>
        <v>-0.35</v>
      </c>
      <c r="H26" s="282">
        <f>$B26*$C26</f>
        <v>-0.35</v>
      </c>
      <c r="I26" s="283">
        <f>$B26*$C26</f>
        <v>-0.35</v>
      </c>
    </row>
    <row r="27" spans="1:9" x14ac:dyDescent="0.25">
      <c r="A27" s="92" t="s">
        <v>297</v>
      </c>
      <c r="B27" s="97">
        <v>1</v>
      </c>
      <c r="C27" s="93">
        <v>-0.35</v>
      </c>
      <c r="D27" s="284">
        <f>B27*C27</f>
        <v>-0.35</v>
      </c>
      <c r="E27" s="283">
        <f>B27*C27</f>
        <v>-0.35</v>
      </c>
      <c r="F27" s="282">
        <f>B27*C27</f>
        <v>-0.35</v>
      </c>
      <c r="G27" s="283">
        <f>B27*C27</f>
        <v>-0.35</v>
      </c>
      <c r="H27" s="282">
        <f t="shared" ref="H27:I28" si="6">$B27*$C27</f>
        <v>-0.35</v>
      </c>
      <c r="I27" s="283">
        <f t="shared" si="6"/>
        <v>-0.35</v>
      </c>
    </row>
    <row r="28" spans="1:9" x14ac:dyDescent="0.25">
      <c r="A28" s="88" t="s">
        <v>298</v>
      </c>
      <c r="B28" s="89">
        <v>0</v>
      </c>
      <c r="C28" s="93">
        <v>0</v>
      </c>
      <c r="D28" s="284">
        <f>C28</f>
        <v>0</v>
      </c>
      <c r="E28" s="284">
        <f>D28</f>
        <v>0</v>
      </c>
      <c r="F28" s="284">
        <f>E28</f>
        <v>0</v>
      </c>
      <c r="G28" s="284">
        <f>F28</f>
        <v>0</v>
      </c>
      <c r="H28" s="282">
        <f t="shared" si="6"/>
        <v>0</v>
      </c>
      <c r="I28" s="283">
        <f t="shared" si="6"/>
        <v>0</v>
      </c>
    </row>
    <row r="29" spans="1:9" ht="15.75" thickBot="1" x14ac:dyDescent="0.3">
      <c r="A29" s="88" t="s">
        <v>299</v>
      </c>
      <c r="B29" s="89">
        <v>0</v>
      </c>
      <c r="C29" s="90">
        <v>0</v>
      </c>
      <c r="D29" s="282">
        <v>0</v>
      </c>
      <c r="E29" s="283">
        <v>0</v>
      </c>
      <c r="F29" s="282">
        <v>0</v>
      </c>
      <c r="G29" s="283">
        <v>0</v>
      </c>
      <c r="H29" s="282">
        <v>0</v>
      </c>
      <c r="I29" s="283">
        <v>0</v>
      </c>
    </row>
    <row r="30" spans="1:9" ht="15.75" thickBot="1" x14ac:dyDescent="0.3">
      <c r="A30" s="351" t="s">
        <v>300</v>
      </c>
      <c r="B30" s="390"/>
      <c r="C30" s="100"/>
      <c r="D30" s="285">
        <f>SUM(D5:D29)</f>
        <v>-25.690548780487809</v>
      </c>
      <c r="E30" s="286">
        <f>SUM(E5:E29)</f>
        <v>-25.870731707317081</v>
      </c>
      <c r="F30" s="101">
        <f>SUM(F5:F29)</f>
        <v>-22.390548780487812</v>
      </c>
      <c r="G30" s="102">
        <f>SUM(G5:G29)</f>
        <v>-22.570731707317083</v>
      </c>
      <c r="H30" s="101">
        <f t="shared" ref="H30:I30" si="7">SUM(H5:H29)</f>
        <v>-18.99054878048781</v>
      </c>
      <c r="I30" s="102">
        <f t="shared" si="7"/>
        <v>-19.170731707317081</v>
      </c>
    </row>
    <row r="31" spans="1:9" x14ac:dyDescent="0.25">
      <c r="A31" s="364" t="s">
        <v>301</v>
      </c>
      <c r="B31" s="391" t="s">
        <v>302</v>
      </c>
      <c r="C31" s="105">
        <f>MIN(4,'PFP Sizing Sheet'!I8)</f>
        <v>2</v>
      </c>
      <c r="D31" s="789">
        <f>ROUND(MIN(-(D$4+D$30+9*HLOOKUP(D$3,$B$41:$C$43,3))/(HLOOKUP(D$3,$B$41:$C$43,3)+$C$33/$C$31),-(E$4+E$30+9*HLOOKUP(E$3,$B$41:$C$43,3))/(HLOOKUP(E$3,$B$41:$C$43,3)+$C$33/$C$31)),0)</f>
        <v>24</v>
      </c>
      <c r="E31" s="790"/>
      <c r="F31" s="789">
        <f>ROUND(MIN(-(F$4+F$30+9*HLOOKUP(F$3,$B$41:$C$43,3))/(HLOOKUP(F$3,$B$41:$C$43,3)+$C$33/$C$31),-(G$4+G$30+9*HLOOKUP(G$3,$B$41:$C$43,3))/(HLOOKUP(G$3,$B$41:$C$43,3)+$C$33/$C$31)),0)</f>
        <v>44</v>
      </c>
      <c r="G31" s="790"/>
      <c r="H31" s="789">
        <f>ROUND(MIN(-(H$4+H$30+9*HLOOKUP(H$3,$B$41:$C$43,3))/(HLOOKUP(H$3,$B$41:$C$43,3)+$C$33/$C$31),-(I$4+I$30+9*HLOOKUP(I$3,$B$41:$C$43,3))/(HLOOKUP(I$3,$B$41:$C$43,3)+$C$33/$C$31)),0)</f>
        <v>64</v>
      </c>
      <c r="I31" s="790"/>
    </row>
    <row r="32" spans="1:9" x14ac:dyDescent="0.25">
      <c r="A32" s="353" t="s">
        <v>303</v>
      </c>
      <c r="B32" s="392"/>
      <c r="C32" s="108" t="s">
        <v>295</v>
      </c>
      <c r="D32" s="109">
        <f>D31*$B$43</f>
        <v>-3.1463414634146343</v>
      </c>
      <c r="E32" s="110">
        <f>D31*$C$43</f>
        <v>-2.1951219512195124</v>
      </c>
      <c r="F32" s="109">
        <f>F31*$B$43</f>
        <v>-5.7682926829268295</v>
      </c>
      <c r="G32" s="110">
        <f>F31*$C$43</f>
        <v>-4.024390243902439</v>
      </c>
      <c r="H32" s="109">
        <f>H31*$B$43</f>
        <v>-8.3902439024390247</v>
      </c>
      <c r="I32" s="110">
        <f>H31*$C$43</f>
        <v>-5.8536585365853657</v>
      </c>
    </row>
    <row r="33" spans="1:9" ht="15.75" thickBot="1" x14ac:dyDescent="0.3">
      <c r="A33" s="354" t="s">
        <v>210</v>
      </c>
      <c r="B33" s="393" t="s">
        <v>304</v>
      </c>
      <c r="C33" s="113">
        <f>C10</f>
        <v>-7.4999999999999997E-2</v>
      </c>
      <c r="D33" s="114">
        <f>D31*$C33/$C$31</f>
        <v>-0.89999999999999991</v>
      </c>
      <c r="E33" s="115">
        <f>D31*$C33/$C$31</f>
        <v>-0.89999999999999991</v>
      </c>
      <c r="F33" s="114">
        <f>F31*$C33/$C$31</f>
        <v>-1.65</v>
      </c>
      <c r="G33" s="115">
        <f>F31*$C33/$C$31</f>
        <v>-1.65</v>
      </c>
      <c r="H33" s="114">
        <f>H31*$C33/$C$31</f>
        <v>-2.4</v>
      </c>
      <c r="I33" s="115">
        <f>H31*$C33/$C$31</f>
        <v>-2.4</v>
      </c>
    </row>
    <row r="34" spans="1:9" ht="15.75" thickBot="1" x14ac:dyDescent="0.3">
      <c r="A34" s="355" t="s">
        <v>305</v>
      </c>
      <c r="B34" s="394"/>
      <c r="C34" s="402"/>
      <c r="D34" s="119">
        <f>D32+D33</f>
        <v>-4.0463414634146346</v>
      </c>
      <c r="E34" s="120">
        <f>E32+E33</f>
        <v>-3.0951219512195123</v>
      </c>
      <c r="F34" s="119">
        <f>F32+F33</f>
        <v>-7.418292682926829</v>
      </c>
      <c r="G34" s="120">
        <f>G32+G33</f>
        <v>-5.6743902439024385</v>
      </c>
      <c r="H34" s="119">
        <f t="shared" ref="H34:I34" si="8">H32+H33</f>
        <v>-10.790243902439025</v>
      </c>
      <c r="I34" s="120">
        <f t="shared" si="8"/>
        <v>-8.2536585365853661</v>
      </c>
    </row>
    <row r="35" spans="1:9" x14ac:dyDescent="0.25">
      <c r="A35" s="352" t="s">
        <v>306</v>
      </c>
      <c r="B35" s="395"/>
      <c r="C35" s="403"/>
      <c r="D35" s="124">
        <f>D$4+D30+D34</f>
        <v>1.2631097560975562</v>
      </c>
      <c r="E35" s="124">
        <f>E$4+E30+E34</f>
        <v>2.0341463414634071</v>
      </c>
      <c r="F35" s="124">
        <f>F$4+F30+F34</f>
        <v>1.191158536585359</v>
      </c>
      <c r="G35" s="124">
        <f>G$4+G30+G34</f>
        <v>2.754878048780478</v>
      </c>
      <c r="H35" s="124">
        <f t="shared" ref="H35:I35" si="9">H$4+H30+H34</f>
        <v>1.219207317073165</v>
      </c>
      <c r="I35" s="124">
        <f t="shared" si="9"/>
        <v>3.5756097560975526</v>
      </c>
    </row>
    <row r="36" spans="1:9" ht="15.75" thickBot="1" x14ac:dyDescent="0.3">
      <c r="A36" s="354" t="s">
        <v>307</v>
      </c>
      <c r="B36" s="398"/>
      <c r="C36" s="407"/>
      <c r="D36" s="127">
        <f>-D35/$B$43</f>
        <v>9.6348837209301958</v>
      </c>
      <c r="E36" s="128">
        <f>-E35/$C$43</f>
        <v>22.239999999999917</v>
      </c>
      <c r="F36" s="129">
        <f>-F35/$B$43</f>
        <v>9.0860465116278544</v>
      </c>
      <c r="G36" s="128">
        <f>-G35/$C$43</f>
        <v>30.119999999999894</v>
      </c>
      <c r="H36" s="129">
        <f>-H35/$B$43</f>
        <v>9.2999999999999563</v>
      </c>
      <c r="I36" s="128">
        <f>-I35/$C$43</f>
        <v>39.093333333333241</v>
      </c>
    </row>
    <row r="37" spans="1:9" ht="15.75" thickBot="1" x14ac:dyDescent="0.3">
      <c r="A37" s="356" t="s">
        <v>308</v>
      </c>
      <c r="B37" s="396"/>
      <c r="C37" s="404"/>
      <c r="D37" s="803">
        <f>ROUNDDOWN(D31+MIN(D36:E36),1)</f>
        <v>33.6</v>
      </c>
      <c r="E37" s="804"/>
      <c r="F37" s="797">
        <f>ROUNDDOWN(F31+MIN(F36:G36),1)</f>
        <v>53</v>
      </c>
      <c r="G37" s="798"/>
      <c r="H37" s="797">
        <f>ROUNDDOWN(H31+MIN(H36:I36),1)</f>
        <v>73.3</v>
      </c>
      <c r="I37" s="798"/>
    </row>
    <row r="38" spans="1:9" ht="15.75" thickBot="1" x14ac:dyDescent="0.3">
      <c r="A38" s="357" t="s">
        <v>309</v>
      </c>
      <c r="B38" s="397"/>
      <c r="C38" s="406">
        <v>96</v>
      </c>
      <c r="D38" s="799">
        <f>MIN(D37,$C38)</f>
        <v>33.6</v>
      </c>
      <c r="E38" s="800"/>
      <c r="F38" s="799">
        <f>MIN(F37,$C38)</f>
        <v>53</v>
      </c>
      <c r="G38" s="800"/>
      <c r="H38" s="799">
        <f>MIN(H37,$C38)</f>
        <v>73.3</v>
      </c>
      <c r="I38" s="800"/>
    </row>
    <row r="39" spans="1:9" ht="15.75" thickBot="1" x14ac:dyDescent="0.3">
      <c r="A39" s="357" t="s">
        <v>310</v>
      </c>
      <c r="B39" s="397"/>
      <c r="C39" s="405">
        <v>64</v>
      </c>
      <c r="D39" s="801">
        <f>MIN(D38,$C39)</f>
        <v>33.6</v>
      </c>
      <c r="E39" s="802"/>
      <c r="F39" s="801">
        <f>MIN(F38,$C39)</f>
        <v>53</v>
      </c>
      <c r="G39" s="802"/>
      <c r="H39" s="801">
        <f>MIN(H38,$C39)</f>
        <v>64</v>
      </c>
      <c r="I39" s="802"/>
    </row>
    <row r="40" spans="1:9" ht="15.75" thickBot="1" x14ac:dyDescent="0.3">
      <c r="A40" s="339"/>
      <c r="B40" s="339"/>
      <c r="C40" s="339"/>
      <c r="D40" s="339"/>
      <c r="E40" s="339"/>
      <c r="F40" s="339"/>
      <c r="G40" s="339"/>
    </row>
    <row r="41" spans="1:9" ht="15.75" thickBot="1" x14ac:dyDescent="0.3">
      <c r="A41" s="339"/>
      <c r="B41" s="373" t="s">
        <v>270</v>
      </c>
      <c r="C41" s="374" t="s">
        <v>271</v>
      </c>
      <c r="D41" s="375" t="s">
        <v>311</v>
      </c>
      <c r="E41" s="376" t="s">
        <v>312</v>
      </c>
      <c r="F41" s="400"/>
      <c r="G41" s="339"/>
    </row>
    <row r="42" spans="1:9" x14ac:dyDescent="0.25">
      <c r="A42" s="358" t="s">
        <v>313</v>
      </c>
      <c r="B42" s="377">
        <f>0.42/-3.28</f>
        <v>-0.12804878048780488</v>
      </c>
      <c r="C42" s="378">
        <f>0.2/-3.28</f>
        <v>-6.0975609756097567E-2</v>
      </c>
      <c r="D42" s="379">
        <f>0.35/-3.28</f>
        <v>-0.10670731707317073</v>
      </c>
      <c r="E42" s="380">
        <f>0.2/-3.28</f>
        <v>-6.0975609756097567E-2</v>
      </c>
      <c r="F42" s="401"/>
      <c r="G42" s="339"/>
    </row>
    <row r="43" spans="1:9" x14ac:dyDescent="0.25">
      <c r="A43" s="359" t="s">
        <v>314</v>
      </c>
      <c r="B43" s="381">
        <f>0.43/-3.28</f>
        <v>-0.13109756097560976</v>
      </c>
      <c r="C43" s="382">
        <f>0.3/-3.28</f>
        <v>-9.1463414634146339E-2</v>
      </c>
      <c r="D43" s="383">
        <f>0.4/-3.28</f>
        <v>-0.12195121951219513</v>
      </c>
      <c r="E43" s="384">
        <f>0.3/-3.28</f>
        <v>-9.1463414634146339E-2</v>
      </c>
      <c r="F43" s="399"/>
      <c r="G43" s="339"/>
    </row>
    <row r="44" spans="1:9" ht="15.75" thickBot="1" x14ac:dyDescent="0.3">
      <c r="A44" s="360" t="s">
        <v>315</v>
      </c>
      <c r="B44" s="385">
        <v>-0.2</v>
      </c>
      <c r="C44" s="386">
        <v>-0.3</v>
      </c>
      <c r="D44" s="387">
        <v>-0.2</v>
      </c>
      <c r="E44" s="388">
        <v>-0.3</v>
      </c>
      <c r="F44" s="339"/>
      <c r="G44" s="339"/>
    </row>
    <row r="45" spans="1:9" x14ac:dyDescent="0.25">
      <c r="A45" s="339"/>
      <c r="B45" s="370" t="s">
        <v>316</v>
      </c>
      <c r="C45" s="370"/>
      <c r="D45" s="370" t="s">
        <v>317</v>
      </c>
      <c r="E45" s="370"/>
      <c r="F45" s="339"/>
      <c r="G45" s="339"/>
    </row>
    <row r="46" spans="1:9" ht="39" x14ac:dyDescent="0.25">
      <c r="A46" s="367" t="s">
        <v>318</v>
      </c>
      <c r="B46" s="339"/>
      <c r="C46" s="339"/>
      <c r="D46" s="339"/>
      <c r="E46" s="339"/>
      <c r="F46" s="339"/>
      <c r="G46" s="339"/>
    </row>
  </sheetData>
  <mergeCells count="16">
    <mergeCell ref="H37:I37"/>
    <mergeCell ref="H38:I38"/>
    <mergeCell ref="H39:I39"/>
    <mergeCell ref="D38:E38"/>
    <mergeCell ref="F38:G38"/>
    <mergeCell ref="D39:E39"/>
    <mergeCell ref="F39:G39"/>
    <mergeCell ref="D37:E37"/>
    <mergeCell ref="F37:G37"/>
    <mergeCell ref="D31:E31"/>
    <mergeCell ref="F31:G31"/>
    <mergeCell ref="D2:E2"/>
    <mergeCell ref="F2:G2"/>
    <mergeCell ref="B1:I1"/>
    <mergeCell ref="H2:I2"/>
    <mergeCell ref="H31:I31"/>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A66E-BCCB-4AAC-85DB-FDFF1A9EE1B4}">
  <sheetPr codeName="Sheet10"/>
  <dimension ref="A1:N44"/>
  <sheetViews>
    <sheetView zoomScaleNormal="100" workbookViewId="0">
      <pane xSplit="1" ySplit="4" topLeftCell="B5" activePane="bottomRight" state="frozen"/>
      <selection activeCell="C158" sqref="C158"/>
      <selection pane="topRight" activeCell="C158" sqref="C158"/>
      <selection pane="bottomLeft" activeCell="C158" sqref="C158"/>
      <selection pane="bottomRight" activeCell="L28" sqref="L28"/>
    </sheetView>
  </sheetViews>
  <sheetFormatPr defaultColWidth="9.140625" defaultRowHeight="12.75" x14ac:dyDescent="0.2"/>
  <cols>
    <col min="1" max="1" width="52.85546875" style="339" customWidth="1"/>
    <col min="2" max="16384" width="9.140625" style="339"/>
  </cols>
  <sheetData>
    <row r="1" spans="1:8" ht="30" customHeight="1" thickBot="1" x14ac:dyDescent="0.3">
      <c r="A1" s="365" t="s">
        <v>262</v>
      </c>
      <c r="B1" s="809" t="s">
        <v>263</v>
      </c>
      <c r="C1" s="810"/>
      <c r="D1" s="810"/>
      <c r="E1" s="810"/>
      <c r="F1" s="810"/>
      <c r="G1" s="810"/>
      <c r="H1" s="409"/>
    </row>
    <row r="2" spans="1:8" ht="26.25" customHeight="1" x14ac:dyDescent="0.2">
      <c r="A2" s="340" t="s">
        <v>319</v>
      </c>
      <c r="B2" s="361" t="s">
        <v>265</v>
      </c>
      <c r="C2" s="362" t="s">
        <v>266</v>
      </c>
      <c r="D2" s="811" t="s">
        <v>268</v>
      </c>
      <c r="E2" s="812"/>
      <c r="F2" s="811" t="s">
        <v>320</v>
      </c>
      <c r="G2" s="812"/>
    </row>
    <row r="3" spans="1:8" x14ac:dyDescent="0.2">
      <c r="A3" s="341" t="s">
        <v>269</v>
      </c>
      <c r="B3" s="342"/>
      <c r="C3" s="343"/>
      <c r="D3" s="410" t="s">
        <v>311</v>
      </c>
      <c r="E3" s="411" t="s">
        <v>321</v>
      </c>
      <c r="F3" s="410" t="s">
        <v>311</v>
      </c>
      <c r="G3" s="411" t="s">
        <v>321</v>
      </c>
    </row>
    <row r="4" spans="1:8" ht="15" customHeight="1" thickBot="1" x14ac:dyDescent="0.25">
      <c r="A4" s="412" t="s">
        <v>272</v>
      </c>
      <c r="B4" s="344"/>
      <c r="C4" s="363">
        <v>28</v>
      </c>
      <c r="D4" s="366">
        <f>C4</f>
        <v>28</v>
      </c>
      <c r="E4" s="413">
        <f>C4</f>
        <v>28</v>
      </c>
      <c r="F4" s="363">
        <f>C4</f>
        <v>28</v>
      </c>
      <c r="G4" s="413">
        <f>C4</f>
        <v>28</v>
      </c>
    </row>
    <row r="5" spans="1:8" x14ac:dyDescent="0.2">
      <c r="A5" s="414" t="s">
        <v>273</v>
      </c>
      <c r="B5" s="345"/>
      <c r="C5" s="346"/>
      <c r="D5" s="347"/>
      <c r="E5" s="348"/>
      <c r="F5" s="349"/>
      <c r="G5" s="350"/>
    </row>
    <row r="6" spans="1:8" x14ac:dyDescent="0.2">
      <c r="A6" s="415" t="s">
        <v>274</v>
      </c>
      <c r="B6" s="389"/>
      <c r="C6" s="416">
        <v>-1</v>
      </c>
      <c r="D6" s="417">
        <f>C6</f>
        <v>-1</v>
      </c>
      <c r="E6" s="418">
        <f>C6</f>
        <v>-1</v>
      </c>
      <c r="F6" s="419">
        <f>C6</f>
        <v>-1</v>
      </c>
      <c r="G6" s="420">
        <f>$C6</f>
        <v>-1</v>
      </c>
    </row>
    <row r="7" spans="1:8" x14ac:dyDescent="0.2">
      <c r="A7" s="421" t="s">
        <v>275</v>
      </c>
      <c r="B7" s="422">
        <v>3</v>
      </c>
      <c r="C7" s="423">
        <v>-0.3</v>
      </c>
      <c r="D7" s="424">
        <f t="shared" ref="D7:G10" si="0">$C7*$B7</f>
        <v>-0.89999999999999991</v>
      </c>
      <c r="E7" s="425">
        <f t="shared" si="0"/>
        <v>-0.89999999999999991</v>
      </c>
      <c r="F7" s="424">
        <f t="shared" si="0"/>
        <v>-0.89999999999999991</v>
      </c>
      <c r="G7" s="425">
        <f t="shared" si="0"/>
        <v>-0.89999999999999991</v>
      </c>
    </row>
    <row r="8" spans="1:8" x14ac:dyDescent="0.2">
      <c r="A8" s="426" t="s">
        <v>276</v>
      </c>
      <c r="B8" s="427">
        <f>IF(OR('PFP Sizing Sheet'!F$9="Placed",'PFP Sizing Sheet'!F$9="Planned"),1,IF('PFP Sizing Sheet'!F$9="No",0,"Invalid"))</f>
        <v>0</v>
      </c>
      <c r="C8" s="428">
        <v>-1.1000000000000001</v>
      </c>
      <c r="D8" s="424">
        <f>$C8*$B8</f>
        <v>0</v>
      </c>
      <c r="E8" s="425">
        <f t="shared" si="0"/>
        <v>0</v>
      </c>
      <c r="F8" s="424">
        <f t="shared" si="0"/>
        <v>0</v>
      </c>
      <c r="G8" s="425">
        <f t="shared" si="0"/>
        <v>0</v>
      </c>
      <c r="H8" s="409"/>
    </row>
    <row r="9" spans="1:8" x14ac:dyDescent="0.2">
      <c r="A9" s="426" t="s">
        <v>277</v>
      </c>
      <c r="B9" s="427">
        <f>IF(OR('PFP Sizing Sheet'!F$9="Placed",'PFP Sizing Sheet'!F$9="Planned"),1,IF('PFP Sizing Sheet'!F$9="No",0,"Invalid"))</f>
        <v>0</v>
      </c>
      <c r="C9" s="428">
        <v>-0.3</v>
      </c>
      <c r="D9" s="424">
        <f>$C9*$B9</f>
        <v>0</v>
      </c>
      <c r="E9" s="425">
        <f t="shared" si="0"/>
        <v>0</v>
      </c>
      <c r="F9" s="424">
        <f t="shared" si="0"/>
        <v>0</v>
      </c>
      <c r="G9" s="425">
        <f t="shared" si="0"/>
        <v>0</v>
      </c>
      <c r="H9" s="409"/>
    </row>
    <row r="10" spans="1:8" ht="13.5" thickBot="1" x14ac:dyDescent="0.25">
      <c r="A10" s="426" t="s">
        <v>278</v>
      </c>
      <c r="B10" s="429">
        <v>1</v>
      </c>
      <c r="C10" s="428">
        <v>-7.4999999999999997E-2</v>
      </c>
      <c r="D10" s="430">
        <f t="shared" si="0"/>
        <v>-7.4999999999999997E-2</v>
      </c>
      <c r="E10" s="431">
        <f t="shared" si="0"/>
        <v>-7.4999999999999997E-2</v>
      </c>
      <c r="F10" s="430">
        <f t="shared" si="0"/>
        <v>-7.4999999999999997E-2</v>
      </c>
      <c r="G10" s="431">
        <f t="shared" si="0"/>
        <v>-7.4999999999999997E-2</v>
      </c>
    </row>
    <row r="11" spans="1:8" x14ac:dyDescent="0.2">
      <c r="A11" s="432" t="s">
        <v>279</v>
      </c>
      <c r="B11" s="433"/>
      <c r="C11" s="434"/>
      <c r="D11" s="435"/>
      <c r="E11" s="436"/>
      <c r="F11" s="435"/>
      <c r="G11" s="436"/>
    </row>
    <row r="12" spans="1:8" x14ac:dyDescent="0.2">
      <c r="A12" s="437" t="s">
        <v>280</v>
      </c>
      <c r="B12" s="438">
        <f>IF('PFP Sizing Sheet'!F$10="Yes",1,IF('PFP Sizing Sheet'!F$10="No",0,"Invalid"))</f>
        <v>0</v>
      </c>
      <c r="C12" s="439">
        <v>-0.1</v>
      </c>
      <c r="D12" s="440">
        <f t="shared" ref="D12:G16" si="1">$C12*$B12</f>
        <v>0</v>
      </c>
      <c r="E12" s="441">
        <f t="shared" si="1"/>
        <v>0</v>
      </c>
      <c r="F12" s="440">
        <f t="shared" si="1"/>
        <v>0</v>
      </c>
      <c r="G12" s="441">
        <f t="shared" si="1"/>
        <v>0</v>
      </c>
    </row>
    <row r="13" spans="1:8" x14ac:dyDescent="0.2">
      <c r="A13" s="437" t="s">
        <v>281</v>
      </c>
      <c r="B13" s="438">
        <f>IF('PFP Sizing Sheet'!F$10="Yes",1,IF('PFP Sizing Sheet'!F$10="No",0,"Invalid"))</f>
        <v>0</v>
      </c>
      <c r="C13" s="439">
        <v>-0.9</v>
      </c>
      <c r="D13" s="440">
        <f t="shared" si="1"/>
        <v>0</v>
      </c>
      <c r="E13" s="441">
        <f t="shared" si="1"/>
        <v>0</v>
      </c>
      <c r="F13" s="440">
        <f t="shared" si="1"/>
        <v>0</v>
      </c>
      <c r="G13" s="441">
        <f t="shared" si="1"/>
        <v>0</v>
      </c>
    </row>
    <row r="14" spans="1:8" x14ac:dyDescent="0.2">
      <c r="A14" s="437" t="s">
        <v>282</v>
      </c>
      <c r="B14" s="438">
        <f>IF('PFP Sizing Sheet'!F$10="Yes",1,IF('PFP Sizing Sheet'!F$10="No",0,"Invalid"))</f>
        <v>0</v>
      </c>
      <c r="C14" s="439">
        <v>-0.1</v>
      </c>
      <c r="D14" s="440">
        <f t="shared" si="1"/>
        <v>0</v>
      </c>
      <c r="E14" s="441">
        <f t="shared" si="1"/>
        <v>0</v>
      </c>
      <c r="F14" s="440">
        <f t="shared" si="1"/>
        <v>0</v>
      </c>
      <c r="G14" s="441">
        <f t="shared" si="1"/>
        <v>0</v>
      </c>
    </row>
    <row r="15" spans="1:8" x14ac:dyDescent="0.2">
      <c r="A15" s="442" t="s">
        <v>283</v>
      </c>
      <c r="B15" s="438">
        <v>1</v>
      </c>
      <c r="C15" s="443">
        <f>C24</f>
        <v>-0.1</v>
      </c>
      <c r="D15" s="440">
        <f t="shared" si="1"/>
        <v>-0.1</v>
      </c>
      <c r="E15" s="441">
        <f t="shared" si="1"/>
        <v>-0.1</v>
      </c>
      <c r="F15" s="440">
        <f t="shared" si="1"/>
        <v>-0.1</v>
      </c>
      <c r="G15" s="441">
        <f t="shared" si="1"/>
        <v>-0.1</v>
      </c>
    </row>
    <row r="16" spans="1:8" x14ac:dyDescent="0.2">
      <c r="A16" s="442" t="s">
        <v>284</v>
      </c>
      <c r="B16" s="438">
        <v>1</v>
      </c>
      <c r="C16" s="443">
        <f>$C$18</f>
        <v>-0.35</v>
      </c>
      <c r="D16" s="440">
        <f t="shared" si="1"/>
        <v>-0.35</v>
      </c>
      <c r="E16" s="441">
        <f t="shared" si="1"/>
        <v>-0.35</v>
      </c>
      <c r="F16" s="440">
        <f t="shared" si="1"/>
        <v>-0.35</v>
      </c>
      <c r="G16" s="441">
        <f t="shared" si="1"/>
        <v>-0.35</v>
      </c>
    </row>
    <row r="17" spans="1:14" x14ac:dyDescent="0.2">
      <c r="A17" s="444" t="s">
        <v>285</v>
      </c>
      <c r="B17" s="438">
        <v>1</v>
      </c>
      <c r="C17" s="445" t="s">
        <v>286</v>
      </c>
      <c r="D17" s="446">
        <v>-17.100000000000001</v>
      </c>
      <c r="E17" s="447">
        <f>D17*$B17</f>
        <v>-17.100000000000001</v>
      </c>
      <c r="F17" s="446">
        <v>-13.7</v>
      </c>
      <c r="G17" s="447">
        <f>F17*$B17</f>
        <v>-13.7</v>
      </c>
    </row>
    <row r="18" spans="1:14" ht="13.5" thickBot="1" x14ac:dyDescent="0.25">
      <c r="A18" s="444" t="s">
        <v>287</v>
      </c>
      <c r="B18" s="448">
        <v>1</v>
      </c>
      <c r="C18" s="445">
        <v>-0.35</v>
      </c>
      <c r="D18" s="449">
        <f>$C18*$B18</f>
        <v>-0.35</v>
      </c>
      <c r="E18" s="447">
        <f>$C18*$B18</f>
        <v>-0.35</v>
      </c>
      <c r="F18" s="449">
        <f>$C18*$B18</f>
        <v>-0.35</v>
      </c>
      <c r="G18" s="447">
        <f>$C18*$B18</f>
        <v>-0.35</v>
      </c>
    </row>
    <row r="19" spans="1:14" x14ac:dyDescent="0.2">
      <c r="A19" s="450" t="s">
        <v>288</v>
      </c>
      <c r="B19" s="451"/>
      <c r="C19" s="452"/>
      <c r="D19" s="453"/>
      <c r="E19" s="454"/>
      <c r="F19" s="455"/>
      <c r="G19" s="456"/>
      <c r="L19" s="457"/>
      <c r="M19" s="457"/>
      <c r="N19" s="457"/>
    </row>
    <row r="20" spans="1:14" x14ac:dyDescent="0.2">
      <c r="A20" s="458" t="s">
        <v>210</v>
      </c>
      <c r="B20" s="459">
        <v>4</v>
      </c>
      <c r="C20" s="460">
        <f>C10</f>
        <v>-7.4999999999999997E-2</v>
      </c>
      <c r="D20" s="461">
        <f>$C20*$B20</f>
        <v>-0.3</v>
      </c>
      <c r="E20" s="462">
        <f>$C20*$B20</f>
        <v>-0.3</v>
      </c>
      <c r="F20" s="461">
        <f>$C20*$B20</f>
        <v>-0.3</v>
      </c>
      <c r="G20" s="462">
        <f>$C20*$B20</f>
        <v>-0.3</v>
      </c>
    </row>
    <row r="21" spans="1:14" x14ac:dyDescent="0.2">
      <c r="A21" s="463" t="s">
        <v>289</v>
      </c>
      <c r="B21" s="464">
        <v>2</v>
      </c>
      <c r="C21" s="465" t="s">
        <v>290</v>
      </c>
      <c r="D21" s="466">
        <f>$B$44*$B21</f>
        <v>-0.4</v>
      </c>
      <c r="E21" s="467">
        <f>$C$44*$B21</f>
        <v>-0.6</v>
      </c>
      <c r="F21" s="466">
        <f>$B$44*$B21</f>
        <v>-0.4</v>
      </c>
      <c r="G21" s="467">
        <f>$C$44*$B21</f>
        <v>-0.6</v>
      </c>
    </row>
    <row r="22" spans="1:14" x14ac:dyDescent="0.2">
      <c r="A22" s="463" t="s">
        <v>291</v>
      </c>
      <c r="B22" s="468">
        <f>'PFP Sizing Sheet'!I9</f>
        <v>2</v>
      </c>
      <c r="C22" s="465">
        <v>-0.35</v>
      </c>
      <c r="D22" s="466">
        <f>$C22*$B22</f>
        <v>-0.7</v>
      </c>
      <c r="E22" s="467">
        <f>$C22*$B22</f>
        <v>-0.7</v>
      </c>
      <c r="F22" s="466">
        <f>$C22*$B22</f>
        <v>-0.7</v>
      </c>
      <c r="G22" s="467">
        <f>$C22*$B22</f>
        <v>-0.7</v>
      </c>
    </row>
    <row r="23" spans="1:14" ht="13.5" customHeight="1" x14ac:dyDescent="0.2">
      <c r="A23" s="469" t="s">
        <v>292</v>
      </c>
      <c r="B23" s="464">
        <v>1</v>
      </c>
      <c r="C23" s="470">
        <v>-0.35</v>
      </c>
      <c r="D23" s="471">
        <f>B23*C23</f>
        <v>-0.35</v>
      </c>
      <c r="E23" s="467">
        <f>B23*C23</f>
        <v>-0.35</v>
      </c>
      <c r="F23" s="466">
        <f>B23*C23</f>
        <v>-0.35</v>
      </c>
      <c r="G23" s="467">
        <f>B23*C23</f>
        <v>-0.35</v>
      </c>
    </row>
    <row r="24" spans="1:14" x14ac:dyDescent="0.2">
      <c r="A24" s="463" t="s">
        <v>293</v>
      </c>
      <c r="B24" s="464">
        <f>2-B22</f>
        <v>0</v>
      </c>
      <c r="C24" s="465">
        <v>-0.1</v>
      </c>
      <c r="D24" s="466">
        <f>$C24*$B24</f>
        <v>0</v>
      </c>
      <c r="E24" s="467">
        <f>$C24*$B24</f>
        <v>0</v>
      </c>
      <c r="F24" s="466">
        <f>$C24*$B24</f>
        <v>0</v>
      </c>
      <c r="G24" s="467">
        <f>$C24*$B24</f>
        <v>0</v>
      </c>
    </row>
    <row r="25" spans="1:14" x14ac:dyDescent="0.2">
      <c r="A25" s="472" t="s">
        <v>294</v>
      </c>
      <c r="B25" s="464">
        <v>0.5</v>
      </c>
      <c r="C25" s="473" t="s">
        <v>295</v>
      </c>
      <c r="D25" s="466">
        <f>$B25*$B$43</f>
        <v>-6.0975609756097567E-2</v>
      </c>
      <c r="E25" s="467">
        <f>$B25*$C$43</f>
        <v>-4.573170731707317E-2</v>
      </c>
      <c r="F25" s="466">
        <f>$B25*$B$43</f>
        <v>-6.0975609756097567E-2</v>
      </c>
      <c r="G25" s="467">
        <f>$B25*$C$43</f>
        <v>-4.573170731707317E-2</v>
      </c>
    </row>
    <row r="26" spans="1:14" ht="14.25" customHeight="1" x14ac:dyDescent="0.2">
      <c r="A26" s="474" t="s">
        <v>296</v>
      </c>
      <c r="B26" s="475">
        <v>1</v>
      </c>
      <c r="C26" s="470">
        <v>-0.35</v>
      </c>
      <c r="D26" s="471">
        <f>B26*C26</f>
        <v>-0.35</v>
      </c>
      <c r="E26" s="467">
        <f>B26*C26</f>
        <v>-0.35</v>
      </c>
      <c r="F26" s="466">
        <f>B26*C26</f>
        <v>-0.35</v>
      </c>
      <c r="G26" s="467">
        <f>B26*C26</f>
        <v>-0.35</v>
      </c>
      <c r="H26" s="409"/>
    </row>
    <row r="27" spans="1:14" ht="12.75" customHeight="1" x14ac:dyDescent="0.2">
      <c r="A27" s="469" t="s">
        <v>297</v>
      </c>
      <c r="B27" s="475">
        <v>1</v>
      </c>
      <c r="C27" s="470">
        <v>-0.35</v>
      </c>
      <c r="D27" s="471">
        <f>B27*C27</f>
        <v>-0.35</v>
      </c>
      <c r="E27" s="467">
        <f>B27*C27</f>
        <v>-0.35</v>
      </c>
      <c r="F27" s="466">
        <f>B27*C27</f>
        <v>-0.35</v>
      </c>
      <c r="G27" s="467">
        <f>B27*C27</f>
        <v>-0.35</v>
      </c>
      <c r="H27" s="409"/>
    </row>
    <row r="28" spans="1:14" ht="13.5" customHeight="1" x14ac:dyDescent="0.2">
      <c r="A28" s="463" t="s">
        <v>298</v>
      </c>
      <c r="B28" s="464">
        <v>0</v>
      </c>
      <c r="C28" s="470">
        <v>0</v>
      </c>
      <c r="D28" s="471">
        <f>C28</f>
        <v>0</v>
      </c>
      <c r="E28" s="471">
        <f>D28</f>
        <v>0</v>
      </c>
      <c r="F28" s="471">
        <f>E28</f>
        <v>0</v>
      </c>
      <c r="G28" s="471">
        <f>F28</f>
        <v>0</v>
      </c>
    </row>
    <row r="29" spans="1:14" ht="13.5" thickBot="1" x14ac:dyDescent="0.25">
      <c r="A29" s="463" t="s">
        <v>299</v>
      </c>
      <c r="B29" s="464">
        <v>0</v>
      </c>
      <c r="C29" s="465">
        <v>0</v>
      </c>
      <c r="D29" s="466">
        <v>0</v>
      </c>
      <c r="E29" s="467">
        <v>0</v>
      </c>
      <c r="F29" s="466">
        <v>0</v>
      </c>
      <c r="G29" s="467">
        <v>0</v>
      </c>
    </row>
    <row r="30" spans="1:14" ht="13.5" thickBot="1" x14ac:dyDescent="0.25">
      <c r="A30" s="351" t="s">
        <v>300</v>
      </c>
      <c r="B30" s="390"/>
      <c r="C30" s="476"/>
      <c r="D30" s="477">
        <f>SUM(D5:D29)</f>
        <v>-22.385975609756105</v>
      </c>
      <c r="E30" s="478">
        <f>SUM(E5:E29)</f>
        <v>-22.570731707317083</v>
      </c>
      <c r="F30" s="479">
        <f>SUM(F5:F29)</f>
        <v>-18.985975609756103</v>
      </c>
      <c r="G30" s="480">
        <f>SUM(G5:G29)</f>
        <v>-19.170731707317081</v>
      </c>
    </row>
    <row r="31" spans="1:14" x14ac:dyDescent="0.2">
      <c r="A31" s="364" t="s">
        <v>301</v>
      </c>
      <c r="B31" s="391" t="s">
        <v>302</v>
      </c>
      <c r="C31" s="481">
        <f>MIN(4,'PFP Sizing Sheet'!I8)</f>
        <v>2</v>
      </c>
      <c r="D31" s="813">
        <f>ROUND(MIN(-(D$4+D$30+9*HLOOKUP(D$3,$B$41:$C$43,3))/(HLOOKUP(D$3,$B$41:$C$43,3)+$C$33/$C$31),-(E$4+E$30+9*HLOOKUP(E$3,$B$41:$C$43,3))/(HLOOKUP(E$3,$B$41:$C$43,3)+$C$33/$C$31)),0)</f>
        <v>28</v>
      </c>
      <c r="E31" s="814"/>
      <c r="F31" s="813">
        <f>ROUND(MIN(-(F$4+F$30+9*HLOOKUP(F$3,$B$41:$C$43,3))/(HLOOKUP(F$3,$B$41:$C$43,3)+$C$33/$C$31),-(G$4+G$30+9*HLOOKUP(G$3,$B$41:$C$43,3))/(HLOOKUP(G$3,$B$41:$C$43,3)+$C$33/$C$31)),0)</f>
        <v>50</v>
      </c>
      <c r="G31" s="814"/>
    </row>
    <row r="32" spans="1:14" x14ac:dyDescent="0.2">
      <c r="A32" s="353" t="s">
        <v>303</v>
      </c>
      <c r="B32" s="392"/>
      <c r="C32" s="482" t="s">
        <v>295</v>
      </c>
      <c r="D32" s="483">
        <f>D31*$B$43</f>
        <v>-3.4146341463414638</v>
      </c>
      <c r="E32" s="484">
        <f>D31*$C$43</f>
        <v>-2.5609756097560976</v>
      </c>
      <c r="F32" s="483">
        <f>F31*$B$43</f>
        <v>-6.0975609756097571</v>
      </c>
      <c r="G32" s="484">
        <f>F31*$C$43</f>
        <v>-4.5731707317073171</v>
      </c>
    </row>
    <row r="33" spans="1:10" ht="13.5" thickBot="1" x14ac:dyDescent="0.25">
      <c r="A33" s="354" t="s">
        <v>210</v>
      </c>
      <c r="B33" s="393" t="s">
        <v>304</v>
      </c>
      <c r="C33" s="485">
        <f>C10</f>
        <v>-7.4999999999999997E-2</v>
      </c>
      <c r="D33" s="486">
        <f>D31*$C33/$C$31</f>
        <v>-1.05</v>
      </c>
      <c r="E33" s="487">
        <f>D31*$C33/$C$31</f>
        <v>-1.05</v>
      </c>
      <c r="F33" s="486">
        <f>F31*$C33/$C$31</f>
        <v>-1.875</v>
      </c>
      <c r="G33" s="487">
        <f>F31*$C33/$C$31</f>
        <v>-1.875</v>
      </c>
    </row>
    <row r="34" spans="1:10" ht="13.5" thickBot="1" x14ac:dyDescent="0.25">
      <c r="A34" s="355" t="s">
        <v>305</v>
      </c>
      <c r="B34" s="394"/>
      <c r="C34" s="402"/>
      <c r="D34" s="488">
        <f>D32+D33</f>
        <v>-4.4646341463414636</v>
      </c>
      <c r="E34" s="489">
        <f>E32+E33</f>
        <v>-3.6109756097560979</v>
      </c>
      <c r="F34" s="488">
        <f>F32+F33</f>
        <v>-7.9725609756097571</v>
      </c>
      <c r="G34" s="489">
        <f>G32+G33</f>
        <v>-6.4481707317073171</v>
      </c>
    </row>
    <row r="35" spans="1:10" x14ac:dyDescent="0.2">
      <c r="A35" s="352" t="s">
        <v>306</v>
      </c>
      <c r="B35" s="395"/>
      <c r="C35" s="403"/>
      <c r="D35" s="490">
        <f>D$4+D30+D34</f>
        <v>1.1493902439024311</v>
      </c>
      <c r="E35" s="490">
        <f>E$4+E30+E34</f>
        <v>1.8182926829268187</v>
      </c>
      <c r="F35" s="490">
        <f>F$4+F30+F34</f>
        <v>1.0414634146341397</v>
      </c>
      <c r="G35" s="490">
        <f>G$4+G30+G34</f>
        <v>2.3810975609756015</v>
      </c>
    </row>
    <row r="36" spans="1:10" ht="13.5" thickBot="1" x14ac:dyDescent="0.25">
      <c r="A36" s="354" t="s">
        <v>307</v>
      </c>
      <c r="B36" s="398"/>
      <c r="C36" s="407"/>
      <c r="D36" s="491">
        <f>-D35/$B$43</f>
        <v>9.4249999999999332</v>
      </c>
      <c r="E36" s="492">
        <f>-E35/$C$43</f>
        <v>19.879999999999885</v>
      </c>
      <c r="F36" s="493">
        <f>-F35/$B$43</f>
        <v>8.5399999999999441</v>
      </c>
      <c r="G36" s="492">
        <f>-G35/$C$43</f>
        <v>26.033333333333243</v>
      </c>
    </row>
    <row r="37" spans="1:10" ht="13.5" thickBot="1" x14ac:dyDescent="0.25">
      <c r="A37" s="356" t="s">
        <v>308</v>
      </c>
      <c r="B37" s="396"/>
      <c r="C37" s="404"/>
      <c r="D37" s="815">
        <f>ROUNDDOWN(D31+MIN(D36:E36),1)</f>
        <v>37.4</v>
      </c>
      <c r="E37" s="816"/>
      <c r="F37" s="817">
        <f>ROUNDDOWN(F31+MIN(F36:G36),1)</f>
        <v>58.5</v>
      </c>
      <c r="G37" s="818"/>
    </row>
    <row r="38" spans="1:10" ht="13.5" thickBot="1" x14ac:dyDescent="0.25">
      <c r="A38" s="357" t="s">
        <v>309</v>
      </c>
      <c r="B38" s="397"/>
      <c r="C38" s="406">
        <v>96</v>
      </c>
      <c r="D38" s="805">
        <f>MIN(D37,$C38)</f>
        <v>37.4</v>
      </c>
      <c r="E38" s="806"/>
      <c r="F38" s="805">
        <f>MIN(F37,$C38)</f>
        <v>58.5</v>
      </c>
      <c r="G38" s="806"/>
    </row>
    <row r="39" spans="1:10" ht="13.5" thickBot="1" x14ac:dyDescent="0.25">
      <c r="A39" s="357" t="s">
        <v>310</v>
      </c>
      <c r="B39" s="397"/>
      <c r="C39" s="405">
        <v>64</v>
      </c>
      <c r="D39" s="807">
        <f>MIN(D38,$C39)</f>
        <v>37.4</v>
      </c>
      <c r="E39" s="808"/>
      <c r="F39" s="807">
        <f>MIN(F38,$C39)</f>
        <v>58.5</v>
      </c>
      <c r="G39" s="808"/>
    </row>
    <row r="40" spans="1:10" ht="13.5" thickBot="1" x14ac:dyDescent="0.25"/>
    <row r="41" spans="1:10" ht="13.5" thickBot="1" x14ac:dyDescent="0.25">
      <c r="B41" s="494" t="s">
        <v>311</v>
      </c>
      <c r="C41" s="495" t="s">
        <v>321</v>
      </c>
      <c r="D41" s="409"/>
    </row>
    <row r="42" spans="1:10" x14ac:dyDescent="0.2">
      <c r="A42" s="358" t="s">
        <v>313</v>
      </c>
      <c r="B42" s="496">
        <f>0.35/-3.28</f>
        <v>-0.10670731707317073</v>
      </c>
      <c r="C42" s="497">
        <f>0.25/-3.28</f>
        <v>-7.621951219512195E-2</v>
      </c>
      <c r="E42" s="409"/>
      <c r="F42" s="409"/>
      <c r="J42" s="409"/>
    </row>
    <row r="43" spans="1:10" x14ac:dyDescent="0.2">
      <c r="A43" s="359" t="s">
        <v>314</v>
      </c>
      <c r="B43" s="498">
        <f>0.4/-3.28</f>
        <v>-0.12195121951219513</v>
      </c>
      <c r="C43" s="499">
        <f>0.3/-3.28</f>
        <v>-9.1463414634146339E-2</v>
      </c>
      <c r="E43" s="500"/>
      <c r="F43" s="399"/>
    </row>
    <row r="44" spans="1:10" ht="13.5" thickBot="1" x14ac:dyDescent="0.25">
      <c r="A44" s="360" t="s">
        <v>315</v>
      </c>
      <c r="B44" s="501">
        <v>-0.2</v>
      </c>
      <c r="C44" s="502">
        <v>-0.3</v>
      </c>
    </row>
  </sheetData>
  <mergeCells count="11">
    <mergeCell ref="D38:E38"/>
    <mergeCell ref="F38:G38"/>
    <mergeCell ref="D39:E39"/>
    <mergeCell ref="F39:G39"/>
    <mergeCell ref="B1:G1"/>
    <mergeCell ref="D2:E2"/>
    <mergeCell ref="F2:G2"/>
    <mergeCell ref="D31:E31"/>
    <mergeCell ref="F31:G31"/>
    <mergeCell ref="D37:E37"/>
    <mergeCell ref="F37:G37"/>
  </mergeCells>
  <pageMargins left="0.75" right="0.75" top="1" bottom="1" header="0.5" footer="0.5"/>
  <pageSetup orientation="landscape" verticalDpi="300"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C28F0-03A0-4111-9D34-24D26120CB5E}">
  <sheetPr codeName="Sheet7"/>
  <dimension ref="A1:G40"/>
  <sheetViews>
    <sheetView topLeftCell="A4" workbookViewId="0">
      <selection activeCell="D35" sqref="D35:E35"/>
    </sheetView>
  </sheetViews>
  <sheetFormatPr defaultRowHeight="15" x14ac:dyDescent="0.25"/>
  <cols>
    <col min="1" max="1" width="51.85546875" bestFit="1" customWidth="1"/>
    <col min="2" max="2" width="9.7109375" bestFit="1" customWidth="1"/>
    <col min="3" max="3" width="9.28515625" bestFit="1" customWidth="1"/>
    <col min="4" max="5" width="9" bestFit="1" customWidth="1"/>
    <col min="6" max="7" width="8.42578125" bestFit="1" customWidth="1"/>
  </cols>
  <sheetData>
    <row r="1" spans="1:7" ht="16.5" thickBot="1" x14ac:dyDescent="0.3">
      <c r="A1" s="40" t="s">
        <v>262</v>
      </c>
      <c r="B1" s="823" t="s">
        <v>263</v>
      </c>
      <c r="C1" s="824"/>
      <c r="D1" s="824"/>
      <c r="E1" s="824"/>
      <c r="F1" s="824"/>
      <c r="G1" s="824"/>
    </row>
    <row r="2" spans="1:7" x14ac:dyDescent="0.25">
      <c r="A2" s="41" t="s">
        <v>319</v>
      </c>
      <c r="B2" s="42" t="s">
        <v>265</v>
      </c>
      <c r="C2" s="43" t="s">
        <v>266</v>
      </c>
      <c r="D2" s="825" t="s">
        <v>267</v>
      </c>
      <c r="E2" s="826"/>
      <c r="F2" s="825" t="s">
        <v>268</v>
      </c>
      <c r="G2" s="826"/>
    </row>
    <row r="3" spans="1:7" x14ac:dyDescent="0.25">
      <c r="A3" s="44" t="s">
        <v>269</v>
      </c>
      <c r="B3" s="45"/>
      <c r="C3" s="46"/>
      <c r="D3" s="47" t="s">
        <v>270</v>
      </c>
      <c r="E3" s="48" t="s">
        <v>312</v>
      </c>
      <c r="F3" s="49" t="s">
        <v>270</v>
      </c>
      <c r="G3" s="50" t="s">
        <v>312</v>
      </c>
    </row>
    <row r="4" spans="1:7" ht="15.75" thickBot="1" x14ac:dyDescent="0.3">
      <c r="A4" s="51" t="s">
        <v>272</v>
      </c>
      <c r="B4" s="52"/>
      <c r="C4" s="54">
        <v>29</v>
      </c>
      <c r="D4" s="53">
        <v>29</v>
      </c>
      <c r="E4" s="55">
        <f>C4</f>
        <v>29</v>
      </c>
      <c r="F4" s="54">
        <f>C4</f>
        <v>29</v>
      </c>
      <c r="G4" s="55">
        <f>C4</f>
        <v>29</v>
      </c>
    </row>
    <row r="5" spans="1:7" x14ac:dyDescent="0.25">
      <c r="A5" s="56" t="s">
        <v>273</v>
      </c>
      <c r="B5" s="57"/>
      <c r="C5" s="58"/>
      <c r="D5" s="262"/>
      <c r="E5" s="263"/>
      <c r="F5" s="59"/>
      <c r="G5" s="60"/>
    </row>
    <row r="6" spans="1:7" x14ac:dyDescent="0.25">
      <c r="A6" s="61" t="s">
        <v>274</v>
      </c>
      <c r="B6" s="62"/>
      <c r="C6" s="264">
        <v>-1</v>
      </c>
      <c r="D6" s="63">
        <f>C6</f>
        <v>-1</v>
      </c>
      <c r="E6" s="265">
        <f>C6</f>
        <v>-1</v>
      </c>
      <c r="F6" s="266">
        <f>C6</f>
        <v>-1</v>
      </c>
      <c r="G6" s="267">
        <f>$C6</f>
        <v>-1</v>
      </c>
    </row>
    <row r="7" spans="1:7" x14ac:dyDescent="0.25">
      <c r="A7" s="64" t="s">
        <v>275</v>
      </c>
      <c r="B7" s="65">
        <v>3</v>
      </c>
      <c r="C7" s="66">
        <v>-0.3</v>
      </c>
      <c r="D7" s="268">
        <f t="shared" ref="D7:G9" si="0">$C7*$B7</f>
        <v>-0.89999999999999991</v>
      </c>
      <c r="E7" s="269">
        <f t="shared" si="0"/>
        <v>-0.89999999999999991</v>
      </c>
      <c r="F7" s="268">
        <f t="shared" si="0"/>
        <v>-0.89999999999999991</v>
      </c>
      <c r="G7" s="269">
        <f t="shared" si="0"/>
        <v>-0.89999999999999991</v>
      </c>
    </row>
    <row r="8" spans="1:7" x14ac:dyDescent="0.25">
      <c r="A8" s="67" t="s">
        <v>322</v>
      </c>
      <c r="B8" s="68">
        <v>0</v>
      </c>
      <c r="C8" s="69">
        <v>-1.4</v>
      </c>
      <c r="D8" s="268">
        <f>$C8*$B8</f>
        <v>0</v>
      </c>
      <c r="E8" s="269">
        <f t="shared" si="0"/>
        <v>0</v>
      </c>
      <c r="F8" s="268">
        <f t="shared" si="0"/>
        <v>0</v>
      </c>
      <c r="G8" s="269">
        <f t="shared" si="0"/>
        <v>0</v>
      </c>
    </row>
    <row r="9" spans="1:7" ht="15.75" thickBot="1" x14ac:dyDescent="0.3">
      <c r="A9" s="67" t="s">
        <v>278</v>
      </c>
      <c r="B9" s="68">
        <v>1</v>
      </c>
      <c r="C9" s="69">
        <v>-7.4999999999999997E-2</v>
      </c>
      <c r="D9" s="270">
        <f t="shared" si="0"/>
        <v>-7.4999999999999997E-2</v>
      </c>
      <c r="E9" s="271">
        <f t="shared" si="0"/>
        <v>-7.4999999999999997E-2</v>
      </c>
      <c r="F9" s="270">
        <f t="shared" si="0"/>
        <v>-7.4999999999999997E-2</v>
      </c>
      <c r="G9" s="271">
        <f t="shared" si="0"/>
        <v>-7.4999999999999997E-2</v>
      </c>
    </row>
    <row r="10" spans="1:7" x14ac:dyDescent="0.25">
      <c r="A10" s="70" t="s">
        <v>323</v>
      </c>
      <c r="B10" s="71"/>
      <c r="C10" s="72"/>
      <c r="D10" s="272"/>
      <c r="E10" s="273"/>
      <c r="F10" s="272"/>
      <c r="G10" s="273"/>
    </row>
    <row r="11" spans="1:7" x14ac:dyDescent="0.25">
      <c r="A11" s="73" t="s">
        <v>283</v>
      </c>
      <c r="B11" s="74">
        <v>1</v>
      </c>
      <c r="C11" s="75">
        <f>C20</f>
        <v>-0.1</v>
      </c>
      <c r="D11" s="274">
        <f t="shared" ref="D11:G12" si="1">$C11*$B11</f>
        <v>-0.1</v>
      </c>
      <c r="E11" s="275">
        <f t="shared" si="1"/>
        <v>-0.1</v>
      </c>
      <c r="F11" s="274">
        <f t="shared" si="1"/>
        <v>-0.1</v>
      </c>
      <c r="G11" s="275">
        <f t="shared" si="1"/>
        <v>-0.1</v>
      </c>
    </row>
    <row r="12" spans="1:7" x14ac:dyDescent="0.25">
      <c r="A12" s="73" t="s">
        <v>284</v>
      </c>
      <c r="B12" s="74">
        <v>1</v>
      </c>
      <c r="C12" s="75">
        <f>$C$14</f>
        <v>-0.35</v>
      </c>
      <c r="D12" s="274">
        <f t="shared" si="1"/>
        <v>-0.35</v>
      </c>
      <c r="E12" s="275">
        <f t="shared" si="1"/>
        <v>-0.35</v>
      </c>
      <c r="F12" s="274">
        <f t="shared" si="1"/>
        <v>-0.35</v>
      </c>
      <c r="G12" s="275">
        <f t="shared" si="1"/>
        <v>-0.35</v>
      </c>
    </row>
    <row r="13" spans="1:7" x14ac:dyDescent="0.25">
      <c r="A13" s="76" t="s">
        <v>285</v>
      </c>
      <c r="B13" s="74">
        <v>1</v>
      </c>
      <c r="C13" s="77" t="s">
        <v>286</v>
      </c>
      <c r="D13" s="78">
        <v>-20.399999999999999</v>
      </c>
      <c r="E13" s="276">
        <f>D13*$B13</f>
        <v>-20.399999999999999</v>
      </c>
      <c r="F13" s="78">
        <v>-17.100000000000001</v>
      </c>
      <c r="G13" s="276">
        <f>F13*$B13</f>
        <v>-17.100000000000001</v>
      </c>
    </row>
    <row r="14" spans="1:7" ht="15.75" thickBot="1" x14ac:dyDescent="0.3">
      <c r="A14" s="76" t="s">
        <v>287</v>
      </c>
      <c r="B14" s="79">
        <v>1</v>
      </c>
      <c r="C14" s="77">
        <v>-0.35</v>
      </c>
      <c r="D14" s="277">
        <f>$C14*$B14</f>
        <v>-0.35</v>
      </c>
      <c r="E14" s="276">
        <f>$C14*$B14</f>
        <v>-0.35</v>
      </c>
      <c r="F14" s="277">
        <f>$C14*$B14</f>
        <v>-0.35</v>
      </c>
      <c r="G14" s="276">
        <f>$C14*$B14</f>
        <v>-0.35</v>
      </c>
    </row>
    <row r="15" spans="1:7" x14ac:dyDescent="0.25">
      <c r="A15" s="80" t="s">
        <v>288</v>
      </c>
      <c r="B15" s="81"/>
      <c r="C15" s="82"/>
      <c r="D15" s="278"/>
      <c r="E15" s="279"/>
      <c r="F15" s="83"/>
      <c r="G15" s="84"/>
    </row>
    <row r="16" spans="1:7" x14ac:dyDescent="0.25">
      <c r="A16" s="85" t="s">
        <v>210</v>
      </c>
      <c r="B16" s="86">
        <v>4</v>
      </c>
      <c r="C16" s="87">
        <f>C9</f>
        <v>-7.4999999999999997E-2</v>
      </c>
      <c r="D16" s="280">
        <f>$C16*$B16</f>
        <v>-0.3</v>
      </c>
      <c r="E16" s="281">
        <f>$C16*$B16</f>
        <v>-0.3</v>
      </c>
      <c r="F16" s="280">
        <f>$C16*$B16</f>
        <v>-0.3</v>
      </c>
      <c r="G16" s="281">
        <f>$C16*$B16</f>
        <v>-0.3</v>
      </c>
    </row>
    <row r="17" spans="1:7" x14ac:dyDescent="0.25">
      <c r="A17" s="88" t="s">
        <v>289</v>
      </c>
      <c r="B17" s="89">
        <v>2</v>
      </c>
      <c r="C17" s="90" t="s">
        <v>324</v>
      </c>
      <c r="D17" s="282">
        <f>$B$40*$B17</f>
        <v>-0.4</v>
      </c>
      <c r="E17" s="283">
        <f>$C$40*$B17</f>
        <v>-0.6</v>
      </c>
      <c r="F17" s="282">
        <f>$B$40*$B17</f>
        <v>-0.4</v>
      </c>
      <c r="G17" s="283">
        <f>$C$40*$B17</f>
        <v>-0.6</v>
      </c>
    </row>
    <row r="18" spans="1:7" x14ac:dyDescent="0.25">
      <c r="A18" s="88" t="s">
        <v>291</v>
      </c>
      <c r="B18" s="91">
        <f>'PFP Sizing Sheet'!I9</f>
        <v>2</v>
      </c>
      <c r="C18" s="90">
        <v>-0.35</v>
      </c>
      <c r="D18" s="282">
        <f>$C18*$B18</f>
        <v>-0.7</v>
      </c>
      <c r="E18" s="283">
        <f>$C18*$B18</f>
        <v>-0.7</v>
      </c>
      <c r="F18" s="282">
        <f>$C18*$B18</f>
        <v>-0.7</v>
      </c>
      <c r="G18" s="283">
        <f>$C18*$B18</f>
        <v>-0.7</v>
      </c>
    </row>
    <row r="19" spans="1:7" x14ac:dyDescent="0.25">
      <c r="A19" s="92" t="s">
        <v>292</v>
      </c>
      <c r="B19" s="89">
        <v>1</v>
      </c>
      <c r="C19" s="93">
        <v>-0.35</v>
      </c>
      <c r="D19" s="284">
        <f>B19*C19</f>
        <v>-0.35</v>
      </c>
      <c r="E19" s="283">
        <f>B19*C19</f>
        <v>-0.35</v>
      </c>
      <c r="F19" s="282">
        <f>B19*C19</f>
        <v>-0.35</v>
      </c>
      <c r="G19" s="283">
        <f>B19*C19</f>
        <v>-0.35</v>
      </c>
    </row>
    <row r="20" spans="1:7" x14ac:dyDescent="0.25">
      <c r="A20" s="88" t="s">
        <v>293</v>
      </c>
      <c r="B20" s="89">
        <f>2-B18</f>
        <v>0</v>
      </c>
      <c r="C20" s="90">
        <v>-0.1</v>
      </c>
      <c r="D20" s="282">
        <f>$C20*$B20</f>
        <v>0</v>
      </c>
      <c r="E20" s="283">
        <f>$C20*$B20</f>
        <v>0</v>
      </c>
      <c r="F20" s="282">
        <f>$C20*$B20</f>
        <v>0</v>
      </c>
      <c r="G20" s="283">
        <f>$C20*$B20</f>
        <v>0</v>
      </c>
    </row>
    <row r="21" spans="1:7" x14ac:dyDescent="0.25">
      <c r="A21" s="94" t="s">
        <v>294</v>
      </c>
      <c r="B21" s="89">
        <v>0.5</v>
      </c>
      <c r="C21" s="95" t="s">
        <v>295</v>
      </c>
      <c r="D21" s="282">
        <f>$B21*$B$39</f>
        <v>-6.0975609756097567E-2</v>
      </c>
      <c r="E21" s="283">
        <f>$B21*$C$39</f>
        <v>-4.573170731707317E-2</v>
      </c>
      <c r="F21" s="282">
        <f>$B21*$B$39</f>
        <v>-6.0975609756097567E-2</v>
      </c>
      <c r="G21" s="283">
        <f>$B21*$C$39</f>
        <v>-4.573170731707317E-2</v>
      </c>
    </row>
    <row r="22" spans="1:7" x14ac:dyDescent="0.25">
      <c r="A22" s="96" t="s">
        <v>296</v>
      </c>
      <c r="B22" s="97">
        <v>1</v>
      </c>
      <c r="C22" s="93">
        <v>-0.35</v>
      </c>
      <c r="D22" s="284">
        <f>B22*C22</f>
        <v>-0.35</v>
      </c>
      <c r="E22" s="283">
        <f>B22*C22</f>
        <v>-0.35</v>
      </c>
      <c r="F22" s="282">
        <f>B22*C22</f>
        <v>-0.35</v>
      </c>
      <c r="G22" s="283">
        <f>B22*C22</f>
        <v>-0.35</v>
      </c>
    </row>
    <row r="23" spans="1:7" x14ac:dyDescent="0.25">
      <c r="A23" s="92" t="s">
        <v>297</v>
      </c>
      <c r="B23" s="97">
        <v>1</v>
      </c>
      <c r="C23" s="93">
        <v>-0.35</v>
      </c>
      <c r="D23" s="284">
        <f>B23*C23</f>
        <v>-0.35</v>
      </c>
      <c r="E23" s="283">
        <f>B23*C23</f>
        <v>-0.35</v>
      </c>
      <c r="F23" s="282">
        <f>B23*C23</f>
        <v>-0.35</v>
      </c>
      <c r="G23" s="283">
        <f>B23*C23</f>
        <v>-0.35</v>
      </c>
    </row>
    <row r="24" spans="1:7" x14ac:dyDescent="0.25">
      <c r="A24" s="88" t="s">
        <v>298</v>
      </c>
      <c r="B24" s="89">
        <v>0</v>
      </c>
      <c r="C24" s="93">
        <v>0</v>
      </c>
      <c r="D24" s="284">
        <f>C24</f>
        <v>0</v>
      </c>
      <c r="E24" s="284">
        <f>D24</f>
        <v>0</v>
      </c>
      <c r="F24" s="284">
        <f>E24</f>
        <v>0</v>
      </c>
      <c r="G24" s="284">
        <f>F24</f>
        <v>0</v>
      </c>
    </row>
    <row r="25" spans="1:7" ht="15.75" thickBot="1" x14ac:dyDescent="0.3">
      <c r="A25" s="88" t="s">
        <v>299</v>
      </c>
      <c r="B25" s="89">
        <v>0</v>
      </c>
      <c r="C25" s="90">
        <v>0</v>
      </c>
      <c r="D25" s="282">
        <v>0</v>
      </c>
      <c r="E25" s="283">
        <v>0</v>
      </c>
      <c r="F25" s="282">
        <v>0</v>
      </c>
      <c r="G25" s="283">
        <v>0</v>
      </c>
    </row>
    <row r="26" spans="1:7" ht="15.75" thickBot="1" x14ac:dyDescent="0.3">
      <c r="A26" s="98" t="s">
        <v>300</v>
      </c>
      <c r="B26" s="99"/>
      <c r="C26" s="100"/>
      <c r="D26" s="285">
        <f>SUM(D5:D25)</f>
        <v>-25.685975609756103</v>
      </c>
      <c r="E26" s="286">
        <f>SUM(E5:E25)</f>
        <v>-25.870731707317081</v>
      </c>
      <c r="F26" s="101">
        <f>SUM(F5:F25)</f>
        <v>-22.385975609756105</v>
      </c>
      <c r="G26" s="102">
        <f>SUM(G5:G25)</f>
        <v>-22.570731707317083</v>
      </c>
    </row>
    <row r="27" spans="1:7" x14ac:dyDescent="0.25">
      <c r="A27" s="103" t="s">
        <v>301</v>
      </c>
      <c r="B27" s="104" t="s">
        <v>302</v>
      </c>
      <c r="C27" s="105">
        <f>MIN(4,'PFP Sizing Sheet'!I8)</f>
        <v>2</v>
      </c>
      <c r="D27" s="827">
        <f>ROUND(MIN(-(D$4+D$26+9*HLOOKUP(D$3,$B$37:$C$39,3))/(HLOOKUP(D$3,$B$37:$C$39,3)+$C$29/$C$27),-(E$4+E$26+9*HLOOKUP(E$3,$B$37:$C$39,3))/(HLOOKUP(E$3,$B$37:$C$39,3)+$C$29/$C$27)),0)</f>
        <v>14</v>
      </c>
      <c r="E27" s="828"/>
      <c r="F27" s="827">
        <f>ROUND(MIN(-(F$4+F$26+9*HLOOKUP(F$3,$B$37:$C$39,3))/(HLOOKUP(F$3,$B$37:$C$39,3)+$C$29/$C$27),-(G$4+G$26+9*HLOOKUP(G$3,$B$37:$C$39,3))/(HLOOKUP(G$3,$B$37:$C$39,3)+$C$29/$C$27)),0)</f>
        <v>35</v>
      </c>
      <c r="G27" s="828"/>
    </row>
    <row r="28" spans="1:7" x14ac:dyDescent="0.25">
      <c r="A28" s="106" t="s">
        <v>303</v>
      </c>
      <c r="B28" s="107"/>
      <c r="C28" s="108" t="s">
        <v>295</v>
      </c>
      <c r="D28" s="109">
        <f>D27*$B$39</f>
        <v>-1.7073170731707319</v>
      </c>
      <c r="E28" s="110">
        <f>D27*$C$39</f>
        <v>-1.2804878048780488</v>
      </c>
      <c r="F28" s="109">
        <f>F27*$B$39</f>
        <v>-4.2682926829268295</v>
      </c>
      <c r="G28" s="110">
        <f>F27*$C$39</f>
        <v>-3.2012195121951219</v>
      </c>
    </row>
    <row r="29" spans="1:7" ht="15.75" thickBot="1" x14ac:dyDescent="0.3">
      <c r="A29" s="111" t="s">
        <v>210</v>
      </c>
      <c r="B29" s="112" t="s">
        <v>304</v>
      </c>
      <c r="C29" s="113">
        <f>C9</f>
        <v>-7.4999999999999997E-2</v>
      </c>
      <c r="D29" s="114">
        <f>D27*$C29/$C$27</f>
        <v>-0.52500000000000002</v>
      </c>
      <c r="E29" s="115">
        <f>D27*$C29/$C$27</f>
        <v>-0.52500000000000002</v>
      </c>
      <c r="F29" s="114">
        <f>F27*$C29/$C$27</f>
        <v>-1.3125</v>
      </c>
      <c r="G29" s="115">
        <f>F27*$C29/$C$27</f>
        <v>-1.3125</v>
      </c>
    </row>
    <row r="30" spans="1:7" ht="15.75" thickBot="1" x14ac:dyDescent="0.3">
      <c r="A30" s="116" t="s">
        <v>305</v>
      </c>
      <c r="B30" s="117"/>
      <c r="C30" s="118"/>
      <c r="D30" s="119">
        <f>D28+D29</f>
        <v>-2.2323170731707318</v>
      </c>
      <c r="E30" s="120">
        <f>E28+E29</f>
        <v>-1.8054878048780489</v>
      </c>
      <c r="F30" s="119">
        <f>F28+F29</f>
        <v>-5.5807926829268295</v>
      </c>
      <c r="G30" s="120">
        <f>G28+G29</f>
        <v>-4.5137195121951219</v>
      </c>
    </row>
    <row r="31" spans="1:7" x14ac:dyDescent="0.25">
      <c r="A31" s="121" t="s">
        <v>306</v>
      </c>
      <c r="B31" s="122"/>
      <c r="C31" s="123"/>
      <c r="D31" s="124">
        <f>D$4+D26+D30</f>
        <v>1.0817073170731657</v>
      </c>
      <c r="E31" s="124">
        <f>E$4+E26+E30</f>
        <v>1.3237804878048705</v>
      </c>
      <c r="F31" s="124">
        <f>F$4+F26+F30</f>
        <v>1.0332317073170652</v>
      </c>
      <c r="G31" s="124">
        <f>G$4+G26+G30</f>
        <v>1.9155487804877946</v>
      </c>
    </row>
    <row r="32" spans="1:7" ht="15.75" thickBot="1" x14ac:dyDescent="0.3">
      <c r="A32" s="111" t="s">
        <v>307</v>
      </c>
      <c r="B32" s="125"/>
      <c r="C32" s="126"/>
      <c r="D32" s="127">
        <f>-D31/$B$39</f>
        <v>8.8699999999999584</v>
      </c>
      <c r="E32" s="128">
        <f>-E31/$C$39</f>
        <v>14.473333333333251</v>
      </c>
      <c r="F32" s="129">
        <f>-F31/$B$39</f>
        <v>8.4724999999999326</v>
      </c>
      <c r="G32" s="128">
        <f>-G31/$C$39</f>
        <v>20.943333333333221</v>
      </c>
    </row>
    <row r="33" spans="1:7" ht="15.75" thickBot="1" x14ac:dyDescent="0.3">
      <c r="A33" s="130" t="s">
        <v>308</v>
      </c>
      <c r="B33" s="131"/>
      <c r="C33" s="132"/>
      <c r="D33" s="829">
        <f>D27+MIN(D32:E32)</f>
        <v>22.869999999999958</v>
      </c>
      <c r="E33" s="830"/>
      <c r="F33" s="831">
        <f>F27+MIN(F32:G32)</f>
        <v>43.472499999999933</v>
      </c>
      <c r="G33" s="832"/>
    </row>
    <row r="34" spans="1:7" ht="15.75" thickBot="1" x14ac:dyDescent="0.3">
      <c r="A34" s="133" t="s">
        <v>309</v>
      </c>
      <c r="B34" s="134"/>
      <c r="C34" s="135">
        <v>96</v>
      </c>
      <c r="D34" s="819">
        <f>MIN(D33,$C34)</f>
        <v>22.869999999999958</v>
      </c>
      <c r="E34" s="820"/>
      <c r="F34" s="819">
        <f>MIN(F33,$C34)</f>
        <v>43.472499999999933</v>
      </c>
      <c r="G34" s="820"/>
    </row>
    <row r="35" spans="1:7" ht="15.75" thickBot="1" x14ac:dyDescent="0.3">
      <c r="A35" s="133" t="s">
        <v>310</v>
      </c>
      <c r="B35" s="134"/>
      <c r="C35" s="136">
        <v>64</v>
      </c>
      <c r="D35" s="821">
        <f>MIN(D34,$C35)</f>
        <v>22.869999999999958</v>
      </c>
      <c r="E35" s="822"/>
      <c r="F35" s="821">
        <f>MIN(F34,$C35)</f>
        <v>43.472499999999933</v>
      </c>
      <c r="G35" s="822"/>
    </row>
    <row r="36" spans="1:7" ht="15.75" thickBot="1" x14ac:dyDescent="0.3"/>
    <row r="37" spans="1:7" ht="15.75" thickBot="1" x14ac:dyDescent="0.3">
      <c r="B37" s="137" t="s">
        <v>270</v>
      </c>
      <c r="C37" s="138" t="s">
        <v>312</v>
      </c>
      <c r="D37" s="149"/>
      <c r="E37" s="287"/>
      <c r="F37" s="287"/>
    </row>
    <row r="38" spans="1:7" x14ac:dyDescent="0.25">
      <c r="A38" s="139" t="s">
        <v>313</v>
      </c>
      <c r="B38" s="140">
        <f>0.42/-3.28</f>
        <v>-0.12804878048780488</v>
      </c>
      <c r="C38" s="141">
        <f>0.2/-3.28</f>
        <v>-6.0975609756097567E-2</v>
      </c>
      <c r="E38" s="288"/>
      <c r="F38" s="288"/>
    </row>
    <row r="39" spans="1:7" x14ac:dyDescent="0.25">
      <c r="A39" s="142" t="s">
        <v>314</v>
      </c>
      <c r="B39" s="143">
        <f>0.4/-3.28</f>
        <v>-0.12195121951219513</v>
      </c>
      <c r="C39" s="144">
        <f>0.3/-3.28</f>
        <v>-9.1463414634146339E-2</v>
      </c>
      <c r="E39" s="289"/>
      <c r="F39" s="290"/>
    </row>
    <row r="40" spans="1:7" ht="15.75" thickBot="1" x14ac:dyDescent="0.3">
      <c r="A40" s="145" t="s">
        <v>315</v>
      </c>
      <c r="B40" s="146">
        <v>-0.2</v>
      </c>
      <c r="C40" s="147">
        <v>-0.3</v>
      </c>
    </row>
  </sheetData>
  <mergeCells count="11">
    <mergeCell ref="D34:E34"/>
    <mergeCell ref="F34:G34"/>
    <mergeCell ref="D35:E35"/>
    <mergeCell ref="F35:G35"/>
    <mergeCell ref="B1:G1"/>
    <mergeCell ref="D2:E2"/>
    <mergeCell ref="F2:G2"/>
    <mergeCell ref="D27:E27"/>
    <mergeCell ref="F27:G27"/>
    <mergeCell ref="D33:E33"/>
    <mergeCell ref="F33:G33"/>
  </mergeCells>
  <pageMargins left="0.7" right="0.7" top="0.75" bottom="0.75" header="0.3" footer="0.3"/>
  <pageSetup orientation="portrait" horizontalDpi="4294967293" verticalDpi="4294967293"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C6090-E017-41A3-9FFE-A93B4E35E825}">
  <sheetPr codeName="Sheet9"/>
  <dimension ref="A1:N40"/>
  <sheetViews>
    <sheetView zoomScaleNormal="100" workbookViewId="0">
      <pane xSplit="1" ySplit="4" topLeftCell="B5" activePane="bottomRight" state="frozen"/>
      <selection pane="topRight" activeCell="B1" sqref="B1"/>
      <selection pane="bottomLeft" activeCell="A5" sqref="A5"/>
      <selection pane="bottomRight" activeCell="D35" sqref="D35:E35"/>
    </sheetView>
  </sheetViews>
  <sheetFormatPr defaultColWidth="9.140625" defaultRowHeight="12.75" x14ac:dyDescent="0.2"/>
  <cols>
    <col min="1" max="1" width="47" style="161" customWidth="1"/>
    <col min="2" max="16384" width="9.140625" style="161"/>
  </cols>
  <sheetData>
    <row r="1" spans="1:14" ht="30" customHeight="1" thickBot="1" x14ac:dyDescent="0.3">
      <c r="A1" s="242" t="s">
        <v>262</v>
      </c>
      <c r="B1" s="837" t="s">
        <v>263</v>
      </c>
      <c r="C1" s="838"/>
      <c r="D1" s="838"/>
      <c r="E1" s="838"/>
      <c r="F1" s="838"/>
      <c r="G1" s="838"/>
    </row>
    <row r="2" spans="1:14" ht="26.25" customHeight="1" x14ac:dyDescent="0.2">
      <c r="A2" s="241" t="s">
        <v>319</v>
      </c>
      <c r="B2" s="240" t="s">
        <v>265</v>
      </c>
      <c r="C2" s="239" t="s">
        <v>266</v>
      </c>
      <c r="D2" s="839" t="s">
        <v>268</v>
      </c>
      <c r="E2" s="840"/>
      <c r="F2" s="839" t="s">
        <v>320</v>
      </c>
      <c r="G2" s="840"/>
    </row>
    <row r="3" spans="1:14" x14ac:dyDescent="0.2">
      <c r="A3" s="291" t="s">
        <v>269</v>
      </c>
      <c r="B3" s="292"/>
      <c r="C3" s="293"/>
      <c r="D3" s="238" t="s">
        <v>311</v>
      </c>
      <c r="E3" s="237" t="s">
        <v>321</v>
      </c>
      <c r="F3" s="238" t="s">
        <v>311</v>
      </c>
      <c r="G3" s="237" t="s">
        <v>321</v>
      </c>
    </row>
    <row r="4" spans="1:14" ht="15" customHeight="1" thickBot="1" x14ac:dyDescent="0.25">
      <c r="A4" s="294" t="s">
        <v>272</v>
      </c>
      <c r="B4" s="295"/>
      <c r="C4" s="235">
        <v>28</v>
      </c>
      <c r="D4" s="236">
        <f>C4</f>
        <v>28</v>
      </c>
      <c r="E4" s="234">
        <f>C4</f>
        <v>28</v>
      </c>
      <c r="F4" s="235">
        <f>C4</f>
        <v>28</v>
      </c>
      <c r="G4" s="234">
        <f>C4</f>
        <v>28</v>
      </c>
    </row>
    <row r="5" spans="1:14" x14ac:dyDescent="0.2">
      <c r="A5" s="233" t="s">
        <v>273</v>
      </c>
      <c r="B5" s="296"/>
      <c r="C5" s="297"/>
      <c r="D5" s="298"/>
      <c r="E5" s="299"/>
      <c r="F5" s="232"/>
      <c r="G5" s="231"/>
    </row>
    <row r="6" spans="1:14" x14ac:dyDescent="0.2">
      <c r="A6" s="300" t="s">
        <v>274</v>
      </c>
      <c r="B6" s="230"/>
      <c r="C6" s="301">
        <v>-1</v>
      </c>
      <c r="D6" s="229">
        <f>C6</f>
        <v>-1</v>
      </c>
      <c r="E6" s="302">
        <f>C6</f>
        <v>-1</v>
      </c>
      <c r="F6" s="303">
        <f>C6</f>
        <v>-1</v>
      </c>
      <c r="G6" s="304">
        <f>$C6</f>
        <v>-1</v>
      </c>
    </row>
    <row r="7" spans="1:14" x14ac:dyDescent="0.2">
      <c r="A7" s="305" t="s">
        <v>275</v>
      </c>
      <c r="B7" s="228">
        <v>3</v>
      </c>
      <c r="C7" s="227">
        <v>-0.3</v>
      </c>
      <c r="D7" s="306">
        <f t="shared" ref="D7:G9" si="0">$C7*$B7</f>
        <v>-0.89999999999999991</v>
      </c>
      <c r="E7" s="307">
        <f t="shared" si="0"/>
        <v>-0.89999999999999991</v>
      </c>
      <c r="F7" s="306">
        <f t="shared" si="0"/>
        <v>-0.89999999999999991</v>
      </c>
      <c r="G7" s="307">
        <f t="shared" si="0"/>
        <v>-0.89999999999999991</v>
      </c>
    </row>
    <row r="8" spans="1:14" x14ac:dyDescent="0.2">
      <c r="A8" s="308" t="s">
        <v>322</v>
      </c>
      <c r="B8" s="226">
        <v>0</v>
      </c>
      <c r="C8" s="225">
        <v>-1.4</v>
      </c>
      <c r="D8" s="306">
        <f t="shared" si="0"/>
        <v>0</v>
      </c>
      <c r="E8" s="307">
        <f t="shared" si="0"/>
        <v>0</v>
      </c>
      <c r="F8" s="306">
        <f t="shared" si="0"/>
        <v>0</v>
      </c>
      <c r="G8" s="307">
        <f t="shared" si="0"/>
        <v>0</v>
      </c>
    </row>
    <row r="9" spans="1:14" ht="13.5" thickBot="1" x14ac:dyDescent="0.25">
      <c r="A9" s="308" t="s">
        <v>278</v>
      </c>
      <c r="B9" s="226">
        <v>1</v>
      </c>
      <c r="C9" s="225">
        <v>-7.4999999999999997E-2</v>
      </c>
      <c r="D9" s="309">
        <f t="shared" si="0"/>
        <v>-7.4999999999999997E-2</v>
      </c>
      <c r="E9" s="310">
        <f t="shared" si="0"/>
        <v>-7.4999999999999997E-2</v>
      </c>
      <c r="F9" s="309">
        <f t="shared" si="0"/>
        <v>-7.4999999999999997E-2</v>
      </c>
      <c r="G9" s="310">
        <f t="shared" si="0"/>
        <v>-7.4999999999999997E-2</v>
      </c>
    </row>
    <row r="10" spans="1:14" x14ac:dyDescent="0.2">
      <c r="A10" s="224" t="s">
        <v>323</v>
      </c>
      <c r="B10" s="223"/>
      <c r="C10" s="222"/>
      <c r="D10" s="311"/>
      <c r="E10" s="312"/>
      <c r="F10" s="311"/>
      <c r="G10" s="312"/>
    </row>
    <row r="11" spans="1:14" x14ac:dyDescent="0.2">
      <c r="A11" s="313" t="s">
        <v>283</v>
      </c>
      <c r="B11" s="221">
        <v>1</v>
      </c>
      <c r="C11" s="314">
        <f>C20</f>
        <v>-0.1</v>
      </c>
      <c r="D11" s="315">
        <f t="shared" ref="D11:G12" si="1">$C11*$B11</f>
        <v>-0.1</v>
      </c>
      <c r="E11" s="316">
        <f t="shared" si="1"/>
        <v>-0.1</v>
      </c>
      <c r="F11" s="315">
        <f t="shared" si="1"/>
        <v>-0.1</v>
      </c>
      <c r="G11" s="316">
        <f t="shared" si="1"/>
        <v>-0.1</v>
      </c>
    </row>
    <row r="12" spans="1:14" x14ac:dyDescent="0.2">
      <c r="A12" s="313" t="s">
        <v>284</v>
      </c>
      <c r="B12" s="221">
        <v>1</v>
      </c>
      <c r="C12" s="314">
        <f>$C$14</f>
        <v>-0.35</v>
      </c>
      <c r="D12" s="315">
        <f t="shared" si="1"/>
        <v>-0.35</v>
      </c>
      <c r="E12" s="316">
        <f t="shared" si="1"/>
        <v>-0.35</v>
      </c>
      <c r="F12" s="315">
        <f t="shared" si="1"/>
        <v>-0.35</v>
      </c>
      <c r="G12" s="316">
        <f t="shared" si="1"/>
        <v>-0.35</v>
      </c>
    </row>
    <row r="13" spans="1:14" x14ac:dyDescent="0.2">
      <c r="A13" s="317" t="s">
        <v>285</v>
      </c>
      <c r="B13" s="221">
        <v>1</v>
      </c>
      <c r="C13" s="218" t="s">
        <v>286</v>
      </c>
      <c r="D13" s="220">
        <v>-17.100000000000001</v>
      </c>
      <c r="E13" s="318">
        <f>D13*$B13</f>
        <v>-17.100000000000001</v>
      </c>
      <c r="F13" s="220">
        <v>-13.7</v>
      </c>
      <c r="G13" s="318">
        <f>F13*$B13</f>
        <v>-13.7</v>
      </c>
    </row>
    <row r="14" spans="1:14" ht="13.5" thickBot="1" x14ac:dyDescent="0.25">
      <c r="A14" s="317" t="s">
        <v>287</v>
      </c>
      <c r="B14" s="219">
        <v>1</v>
      </c>
      <c r="C14" s="218">
        <v>-0.35</v>
      </c>
      <c r="D14" s="319">
        <f>$C14*$B14</f>
        <v>-0.35</v>
      </c>
      <c r="E14" s="318">
        <f>$C14*$B14</f>
        <v>-0.35</v>
      </c>
      <c r="F14" s="319">
        <f>$C14*$B14</f>
        <v>-0.35</v>
      </c>
      <c r="G14" s="318">
        <f>$C14*$B14</f>
        <v>-0.35</v>
      </c>
    </row>
    <row r="15" spans="1:14" x14ac:dyDescent="0.2">
      <c r="A15" s="217" t="s">
        <v>288</v>
      </c>
      <c r="B15" s="216"/>
      <c r="C15" s="215"/>
      <c r="D15" s="320"/>
      <c r="E15" s="321"/>
      <c r="F15" s="214"/>
      <c r="G15" s="213"/>
      <c r="L15" s="212"/>
      <c r="M15" s="212"/>
      <c r="N15" s="212"/>
    </row>
    <row r="16" spans="1:14" x14ac:dyDescent="0.2">
      <c r="A16" s="322" t="s">
        <v>210</v>
      </c>
      <c r="B16" s="211">
        <v>4</v>
      </c>
      <c r="C16" s="210">
        <f>C9</f>
        <v>-7.4999999999999997E-2</v>
      </c>
      <c r="D16" s="323">
        <f>$C16*$B16</f>
        <v>-0.3</v>
      </c>
      <c r="E16" s="324">
        <f>$C16*$B16</f>
        <v>-0.3</v>
      </c>
      <c r="F16" s="323">
        <f>$C16*$B16</f>
        <v>-0.3</v>
      </c>
      <c r="G16" s="324">
        <f>$C16*$B16</f>
        <v>-0.3</v>
      </c>
    </row>
    <row r="17" spans="1:7" x14ac:dyDescent="0.2">
      <c r="A17" s="325" t="s">
        <v>289</v>
      </c>
      <c r="B17" s="203">
        <v>2</v>
      </c>
      <c r="C17" s="202" t="s">
        <v>324</v>
      </c>
      <c r="D17" s="326">
        <f>$B$40*$B17</f>
        <v>-0.4</v>
      </c>
      <c r="E17" s="327">
        <f>$C$40*$B17</f>
        <v>-0.6</v>
      </c>
      <c r="F17" s="326">
        <f>$B$40*$B17</f>
        <v>-0.4</v>
      </c>
      <c r="G17" s="327">
        <f>$C$40*$B17</f>
        <v>-0.6</v>
      </c>
    </row>
    <row r="18" spans="1:7" x14ac:dyDescent="0.2">
      <c r="A18" s="325" t="s">
        <v>291</v>
      </c>
      <c r="B18" s="209">
        <f>'PFP Sizing Sheet'!I9</f>
        <v>2</v>
      </c>
      <c r="C18" s="202">
        <v>-0.35</v>
      </c>
      <c r="D18" s="326">
        <f>$C18*$B18</f>
        <v>-0.7</v>
      </c>
      <c r="E18" s="327">
        <f>$C18*$B18</f>
        <v>-0.7</v>
      </c>
      <c r="F18" s="326">
        <f>$C18*$B18</f>
        <v>-0.7</v>
      </c>
      <c r="G18" s="327">
        <f>$C18*$B18</f>
        <v>-0.7</v>
      </c>
    </row>
    <row r="19" spans="1:7" ht="13.5" customHeight="1" x14ac:dyDescent="0.2">
      <c r="A19" s="206" t="s">
        <v>292</v>
      </c>
      <c r="B19" s="203">
        <v>1</v>
      </c>
      <c r="C19" s="204">
        <v>-0.35</v>
      </c>
      <c r="D19" s="328">
        <f>B19*C19</f>
        <v>-0.35</v>
      </c>
      <c r="E19" s="327">
        <f>B19*C19</f>
        <v>-0.35</v>
      </c>
      <c r="F19" s="326">
        <f>B19*C19</f>
        <v>-0.35</v>
      </c>
      <c r="G19" s="327">
        <f>B19*C19</f>
        <v>-0.35</v>
      </c>
    </row>
    <row r="20" spans="1:7" x14ac:dyDescent="0.2">
      <c r="A20" s="325" t="s">
        <v>293</v>
      </c>
      <c r="B20" s="203">
        <f>2-B18</f>
        <v>0</v>
      </c>
      <c r="C20" s="202">
        <v>-0.1</v>
      </c>
      <c r="D20" s="326">
        <f>$C20*$B20</f>
        <v>0</v>
      </c>
      <c r="E20" s="327">
        <f>$C20*$B20</f>
        <v>0</v>
      </c>
      <c r="F20" s="326">
        <f>$C20*$B20</f>
        <v>0</v>
      </c>
      <c r="G20" s="327">
        <f>$C20*$B20</f>
        <v>0</v>
      </c>
    </row>
    <row r="21" spans="1:7" x14ac:dyDescent="0.2">
      <c r="A21" s="329" t="s">
        <v>294</v>
      </c>
      <c r="B21" s="203">
        <v>0.5</v>
      </c>
      <c r="C21" s="208" t="s">
        <v>295</v>
      </c>
      <c r="D21" s="326">
        <f>$B21*$B$39</f>
        <v>-6.0975609756097567E-2</v>
      </c>
      <c r="E21" s="327">
        <f>$B21*$C$39</f>
        <v>-4.573170731707317E-2</v>
      </c>
      <c r="F21" s="326">
        <f>$B21*$B$39</f>
        <v>-6.0975609756097567E-2</v>
      </c>
      <c r="G21" s="327">
        <f>$B21*$C$39</f>
        <v>-4.573170731707317E-2</v>
      </c>
    </row>
    <row r="22" spans="1:7" ht="14.25" customHeight="1" x14ac:dyDescent="0.2">
      <c r="A22" s="207" t="s">
        <v>296</v>
      </c>
      <c r="B22" s="205">
        <v>1</v>
      </c>
      <c r="C22" s="204">
        <v>-0.35</v>
      </c>
      <c r="D22" s="328">
        <f>B22*C22</f>
        <v>-0.35</v>
      </c>
      <c r="E22" s="327">
        <f>B22*C22</f>
        <v>-0.35</v>
      </c>
      <c r="F22" s="326">
        <f>B22*C22</f>
        <v>-0.35</v>
      </c>
      <c r="G22" s="327">
        <f>B22*C22</f>
        <v>-0.35</v>
      </c>
    </row>
    <row r="23" spans="1:7" ht="12.75" customHeight="1" x14ac:dyDescent="0.2">
      <c r="A23" s="206" t="s">
        <v>297</v>
      </c>
      <c r="B23" s="205">
        <v>1</v>
      </c>
      <c r="C23" s="204">
        <v>-0.35</v>
      </c>
      <c r="D23" s="328">
        <f>B23*C23</f>
        <v>-0.35</v>
      </c>
      <c r="E23" s="327">
        <f>B23*C23</f>
        <v>-0.35</v>
      </c>
      <c r="F23" s="326">
        <f>B23*C23</f>
        <v>-0.35</v>
      </c>
      <c r="G23" s="327">
        <f>B23*C23</f>
        <v>-0.35</v>
      </c>
    </row>
    <row r="24" spans="1:7" ht="13.5" customHeight="1" x14ac:dyDescent="0.2">
      <c r="A24" s="325" t="s">
        <v>298</v>
      </c>
      <c r="B24" s="203">
        <v>0</v>
      </c>
      <c r="C24" s="204">
        <v>0</v>
      </c>
      <c r="D24" s="328">
        <f>C24</f>
        <v>0</v>
      </c>
      <c r="E24" s="328">
        <f>D24</f>
        <v>0</v>
      </c>
      <c r="F24" s="328">
        <f>E24</f>
        <v>0</v>
      </c>
      <c r="G24" s="328">
        <f>F24</f>
        <v>0</v>
      </c>
    </row>
    <row r="25" spans="1:7" ht="13.5" thickBot="1" x14ac:dyDescent="0.25">
      <c r="A25" s="325" t="s">
        <v>299</v>
      </c>
      <c r="B25" s="203">
        <v>0</v>
      </c>
      <c r="C25" s="202">
        <v>0</v>
      </c>
      <c r="D25" s="326">
        <v>0</v>
      </c>
      <c r="E25" s="327">
        <v>0</v>
      </c>
      <c r="F25" s="326">
        <v>0</v>
      </c>
      <c r="G25" s="327">
        <v>0</v>
      </c>
    </row>
    <row r="26" spans="1:7" ht="13.5" thickBot="1" x14ac:dyDescent="0.25">
      <c r="A26" s="330" t="s">
        <v>300</v>
      </c>
      <c r="B26" s="331"/>
      <c r="C26" s="332"/>
      <c r="D26" s="201">
        <f>SUM(D5:D25)</f>
        <v>-22.385975609756105</v>
      </c>
      <c r="E26" s="200">
        <f>SUM(E5:E25)</f>
        <v>-22.570731707317083</v>
      </c>
      <c r="F26" s="201">
        <f>SUM(F5:F25)</f>
        <v>-18.985975609756103</v>
      </c>
      <c r="G26" s="200">
        <f>SUM(G5:G25)</f>
        <v>-19.170731707317081</v>
      </c>
    </row>
    <row r="27" spans="1:7" x14ac:dyDescent="0.2">
      <c r="A27" s="188" t="s">
        <v>301</v>
      </c>
      <c r="B27" s="333" t="s">
        <v>302</v>
      </c>
      <c r="C27" s="199">
        <f>MIN(4,'PFP Sizing Sheet'!I8)</f>
        <v>2</v>
      </c>
      <c r="D27" s="841">
        <f>ROUND(MIN(-(D$4+D$26+9*HLOOKUP(D$3,$B$37:$C$39,3))/(HLOOKUP(D$3,$B$37:$C$39,3)+$C$29/$C$27),-(E$4+E$26+9*HLOOKUP(E$3,$B$37:$C$39,3))/(HLOOKUP(E$3,$B$37:$C$39,3)+$C$29/$C$27)),0)</f>
        <v>28</v>
      </c>
      <c r="E27" s="842"/>
      <c r="F27" s="841">
        <f>ROUND(MIN(-(F$4+F$26+9*HLOOKUP(F$3,$B$37:$C$39,3))/(HLOOKUP(F$3,$B$37:$C$39,3)+$C$29/$C$27),-(G$4+G$26+9*HLOOKUP(G$3,$B$37:$C$39,3))/(HLOOKUP(G$3,$B$37:$C$39,3)+$C$29/$C$27)),0)</f>
        <v>50</v>
      </c>
      <c r="G27" s="842"/>
    </row>
    <row r="28" spans="1:7" x14ac:dyDescent="0.2">
      <c r="A28" s="198" t="s">
        <v>303</v>
      </c>
      <c r="B28" s="334"/>
      <c r="C28" s="335" t="s">
        <v>295</v>
      </c>
      <c r="D28" s="185">
        <f>D27*$B$39</f>
        <v>-3.4146341463414638</v>
      </c>
      <c r="E28" s="336">
        <f>D27*$C$39</f>
        <v>-2.5609756097560976</v>
      </c>
      <c r="F28" s="185">
        <f>F27*$B$39</f>
        <v>-6.0975609756097571</v>
      </c>
      <c r="G28" s="336">
        <f>F27*$C$39</f>
        <v>-4.5731707317073171</v>
      </c>
    </row>
    <row r="29" spans="1:7" ht="13.5" thickBot="1" x14ac:dyDescent="0.25">
      <c r="A29" s="184" t="s">
        <v>210</v>
      </c>
      <c r="B29" s="197" t="s">
        <v>304</v>
      </c>
      <c r="C29" s="196">
        <f>C9</f>
        <v>-7.4999999999999997E-2</v>
      </c>
      <c r="D29" s="195">
        <f>D27*$C29/$C$27</f>
        <v>-1.05</v>
      </c>
      <c r="E29" s="194">
        <f>D27*$C29/$C$27</f>
        <v>-1.05</v>
      </c>
      <c r="F29" s="195">
        <f>F27*$C29/$C$27</f>
        <v>-1.875</v>
      </c>
      <c r="G29" s="194">
        <f>F27*$C29/$C$27</f>
        <v>-1.875</v>
      </c>
    </row>
    <row r="30" spans="1:7" ht="13.5" thickBot="1" x14ac:dyDescent="0.25">
      <c r="A30" s="193" t="s">
        <v>305</v>
      </c>
      <c r="B30" s="192"/>
      <c r="C30" s="191"/>
      <c r="D30" s="190">
        <f>D28+D29</f>
        <v>-4.4646341463414636</v>
      </c>
      <c r="E30" s="189">
        <f>E28+E29</f>
        <v>-3.6109756097560979</v>
      </c>
      <c r="F30" s="190">
        <f>F28+F29</f>
        <v>-7.9725609756097571</v>
      </c>
      <c r="G30" s="189">
        <f>G28+G29</f>
        <v>-6.4481707317073171</v>
      </c>
    </row>
    <row r="31" spans="1:7" x14ac:dyDescent="0.2">
      <c r="A31" s="188" t="s">
        <v>306</v>
      </c>
      <c r="B31" s="187"/>
      <c r="C31" s="186"/>
      <c r="D31" s="185">
        <f>D$4+D26+D30</f>
        <v>1.1493902439024311</v>
      </c>
      <c r="E31" s="185">
        <f>E$4+E26+E30</f>
        <v>1.8182926829268187</v>
      </c>
      <c r="F31" s="185">
        <f>F$4+F26+F30</f>
        <v>1.0414634146341397</v>
      </c>
      <c r="G31" s="185">
        <f>G$4+G26+G30</f>
        <v>2.3810975609756015</v>
      </c>
    </row>
    <row r="32" spans="1:7" ht="13.5" thickBot="1" x14ac:dyDescent="0.25">
      <c r="A32" s="184" t="s">
        <v>307</v>
      </c>
      <c r="B32" s="197"/>
      <c r="C32" s="183"/>
      <c r="D32" s="182">
        <f>-D31/$B$39</f>
        <v>9.4249999999999332</v>
      </c>
      <c r="E32" s="180">
        <f>-E31/$C$39</f>
        <v>19.879999999999885</v>
      </c>
      <c r="F32" s="181">
        <f>-F31/$B$39</f>
        <v>8.5399999999999441</v>
      </c>
      <c r="G32" s="180">
        <f>-G31/$C$39</f>
        <v>26.033333333333243</v>
      </c>
    </row>
    <row r="33" spans="1:7" ht="13.5" thickBot="1" x14ac:dyDescent="0.25">
      <c r="A33" s="179" t="s">
        <v>308</v>
      </c>
      <c r="B33" s="178"/>
      <c r="C33" s="177"/>
      <c r="D33" s="843">
        <f>D27+MIN(D32:E32)</f>
        <v>37.424999999999933</v>
      </c>
      <c r="E33" s="844"/>
      <c r="F33" s="845">
        <f>F27+MIN(F32:G32)</f>
        <v>58.539999999999942</v>
      </c>
      <c r="G33" s="846"/>
    </row>
    <row r="34" spans="1:7" ht="13.5" thickBot="1" x14ac:dyDescent="0.25">
      <c r="A34" s="175" t="s">
        <v>309</v>
      </c>
      <c r="B34" s="174"/>
      <c r="C34" s="176">
        <v>96</v>
      </c>
      <c r="D34" s="833">
        <f>MIN(D33,$C34)</f>
        <v>37.424999999999933</v>
      </c>
      <c r="E34" s="834"/>
      <c r="F34" s="833">
        <f>MIN(F33,$C34)</f>
        <v>58.539999999999942</v>
      </c>
      <c r="G34" s="834"/>
    </row>
    <row r="35" spans="1:7" ht="13.5" thickBot="1" x14ac:dyDescent="0.25">
      <c r="A35" s="175" t="s">
        <v>310</v>
      </c>
      <c r="B35" s="174"/>
      <c r="C35" s="173">
        <v>64</v>
      </c>
      <c r="D35" s="835">
        <f>MIN(D34,$C35)</f>
        <v>37.424999999999933</v>
      </c>
      <c r="E35" s="836"/>
      <c r="F35" s="835">
        <f>MIN(F34,$C35)</f>
        <v>58.539999999999942</v>
      </c>
      <c r="G35" s="836"/>
    </row>
    <row r="36" spans="1:7" ht="13.5" thickBot="1" x14ac:dyDescent="0.25"/>
    <row r="37" spans="1:7" ht="13.5" thickBot="1" x14ac:dyDescent="0.25">
      <c r="B37" s="172" t="s">
        <v>311</v>
      </c>
      <c r="C37" s="171" t="s">
        <v>321</v>
      </c>
    </row>
    <row r="38" spans="1:7" x14ac:dyDescent="0.2">
      <c r="A38" s="170" t="s">
        <v>313</v>
      </c>
      <c r="B38" s="169">
        <f>0.35/-3.28</f>
        <v>-0.10670731707317073</v>
      </c>
      <c r="C38" s="168">
        <f>0.25/-3.28</f>
        <v>-7.621951219512195E-2</v>
      </c>
    </row>
    <row r="39" spans="1:7" x14ac:dyDescent="0.2">
      <c r="A39" s="167" t="s">
        <v>314</v>
      </c>
      <c r="B39" s="166">
        <f>0.4/-3.28</f>
        <v>-0.12195121951219513</v>
      </c>
      <c r="C39" s="165">
        <f>0.3/-3.28</f>
        <v>-9.1463414634146339E-2</v>
      </c>
      <c r="E39" s="337"/>
      <c r="F39" s="338"/>
    </row>
    <row r="40" spans="1:7" ht="13.5" thickBot="1" x14ac:dyDescent="0.25">
      <c r="A40" s="164" t="s">
        <v>315</v>
      </c>
      <c r="B40" s="163">
        <v>-0.2</v>
      </c>
      <c r="C40" s="162">
        <v>-0.3</v>
      </c>
    </row>
  </sheetData>
  <mergeCells count="11">
    <mergeCell ref="D34:E34"/>
    <mergeCell ref="F34:G34"/>
    <mergeCell ref="D35:E35"/>
    <mergeCell ref="F35:G35"/>
    <mergeCell ref="B1:G1"/>
    <mergeCell ref="D2:E2"/>
    <mergeCell ref="F2:G2"/>
    <mergeCell ref="D27:E27"/>
    <mergeCell ref="F27:G27"/>
    <mergeCell ref="D33:E33"/>
    <mergeCell ref="F33:G33"/>
  </mergeCells>
  <pageMargins left="0.75" right="0.75" top="1" bottom="1" header="0.5" footer="0.5"/>
  <pageSetup orientation="landscape" verticalDpi="300" r:id="rId1"/>
  <headerFooter alignWithMargins="0"/>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A9FE4-7D89-41C8-9E02-3E630C4A4748}">
  <sheetPr codeName="Sheet6">
    <pageSetUpPr fitToPage="1"/>
  </sheetPr>
  <dimension ref="A1:T65"/>
  <sheetViews>
    <sheetView topLeftCell="A22" workbookViewId="0">
      <selection activeCell="M27" sqref="M27"/>
    </sheetView>
  </sheetViews>
  <sheetFormatPr defaultRowHeight="15" x14ac:dyDescent="0.25"/>
  <cols>
    <col min="1" max="1" width="17" style="1" bestFit="1" customWidth="1"/>
    <col min="2" max="2" width="11.140625" bestFit="1" customWidth="1"/>
    <col min="3" max="3" width="7.5703125" bestFit="1" customWidth="1"/>
    <col min="4" max="4" width="10" bestFit="1" customWidth="1"/>
    <col min="5" max="5" width="12.5703125" bestFit="1" customWidth="1"/>
    <col min="6" max="6" width="12" customWidth="1"/>
    <col min="7" max="8" width="12.28515625" customWidth="1"/>
    <col min="9" max="9" width="9.140625" style="1"/>
    <col min="10" max="10" width="29.7109375" bestFit="1" customWidth="1"/>
    <col min="18" max="18" width="13" customWidth="1"/>
    <col min="19" max="19" width="10.28515625" customWidth="1"/>
    <col min="20" max="20" width="14" style="1" customWidth="1"/>
  </cols>
  <sheetData>
    <row r="1" spans="1:20" ht="15.75" thickBot="1" x14ac:dyDescent="0.3">
      <c r="A1" s="687" t="s">
        <v>325</v>
      </c>
      <c r="B1" s="688"/>
      <c r="C1" s="688"/>
      <c r="D1" s="688"/>
      <c r="E1" s="688"/>
      <c r="F1" s="688"/>
      <c r="G1" s="688"/>
      <c r="H1" s="688"/>
      <c r="I1" s="688"/>
      <c r="J1" s="689"/>
      <c r="N1" s="847" t="s">
        <v>326</v>
      </c>
      <c r="O1" s="848"/>
      <c r="P1" s="848"/>
      <c r="Q1" s="848"/>
      <c r="R1" s="848"/>
      <c r="S1" s="848"/>
      <c r="T1" s="849"/>
    </row>
    <row r="2" spans="1:20" ht="45.75" thickBot="1" x14ac:dyDescent="0.3">
      <c r="A2" s="639" t="s">
        <v>327</v>
      </c>
      <c r="B2" s="640" t="s">
        <v>5</v>
      </c>
      <c r="C2" s="640" t="s">
        <v>328</v>
      </c>
      <c r="D2" s="640" t="s">
        <v>329</v>
      </c>
      <c r="E2" s="640" t="s">
        <v>330</v>
      </c>
      <c r="F2" s="640" t="s">
        <v>331</v>
      </c>
      <c r="G2" s="640" t="s">
        <v>332</v>
      </c>
      <c r="H2" s="641" t="s">
        <v>333</v>
      </c>
      <c r="I2" s="257" t="s">
        <v>334</v>
      </c>
      <c r="J2" s="258" t="s">
        <v>444</v>
      </c>
      <c r="N2" s="256" t="s">
        <v>327</v>
      </c>
      <c r="O2" s="257" t="s">
        <v>328</v>
      </c>
      <c r="P2" s="257" t="s">
        <v>329</v>
      </c>
      <c r="Q2" s="257" t="s">
        <v>330</v>
      </c>
      <c r="R2" s="257" t="s">
        <v>331</v>
      </c>
      <c r="S2" s="257" t="s">
        <v>334</v>
      </c>
      <c r="T2" s="258" t="s">
        <v>444</v>
      </c>
    </row>
    <row r="3" spans="1:20" x14ac:dyDescent="0.25">
      <c r="A3" s="515">
        <v>32</v>
      </c>
      <c r="B3" s="511" t="s">
        <v>335</v>
      </c>
      <c r="C3" s="511">
        <v>2</v>
      </c>
      <c r="D3" s="511"/>
      <c r="E3" s="511">
        <v>22</v>
      </c>
      <c r="F3" s="516">
        <v>2</v>
      </c>
      <c r="G3" s="511">
        <v>64</v>
      </c>
      <c r="H3" s="517" t="s">
        <v>336</v>
      </c>
      <c r="I3" s="642" t="s">
        <v>443</v>
      </c>
      <c r="J3" s="644" t="s">
        <v>445</v>
      </c>
      <c r="N3" s="638">
        <v>288</v>
      </c>
      <c r="O3" s="517">
        <v>14</v>
      </c>
      <c r="P3" s="517">
        <v>72</v>
      </c>
      <c r="Q3" s="517">
        <v>72</v>
      </c>
      <c r="R3" s="517">
        <v>12</v>
      </c>
      <c r="S3" s="517" t="s">
        <v>443</v>
      </c>
      <c r="T3" s="518" t="s">
        <v>452</v>
      </c>
    </row>
    <row r="4" spans="1:20" x14ac:dyDescent="0.25">
      <c r="A4" s="515">
        <v>32</v>
      </c>
      <c r="B4" s="245" t="s">
        <v>337</v>
      </c>
      <c r="C4" s="511">
        <v>2</v>
      </c>
      <c r="D4" s="511"/>
      <c r="E4" s="511">
        <v>32</v>
      </c>
      <c r="F4" s="516">
        <v>2</v>
      </c>
      <c r="G4" s="511">
        <v>64</v>
      </c>
      <c r="H4" s="511" t="s">
        <v>336</v>
      </c>
      <c r="I4" s="513" t="s">
        <v>443</v>
      </c>
      <c r="J4" s="645" t="s">
        <v>445</v>
      </c>
      <c r="N4" s="512">
        <v>432</v>
      </c>
      <c r="O4" s="245">
        <v>14</v>
      </c>
      <c r="P4" s="245">
        <v>72</v>
      </c>
      <c r="Q4" s="245">
        <v>72</v>
      </c>
      <c r="R4" s="245">
        <v>12</v>
      </c>
      <c r="S4" s="245" t="s">
        <v>443</v>
      </c>
      <c r="T4" s="249" t="s">
        <v>452</v>
      </c>
    </row>
    <row r="5" spans="1:20" x14ac:dyDescent="0.25">
      <c r="A5" s="250">
        <v>64</v>
      </c>
      <c r="B5" s="245" t="s">
        <v>335</v>
      </c>
      <c r="C5" s="245">
        <v>2</v>
      </c>
      <c r="D5" s="245"/>
      <c r="E5" s="245">
        <v>23</v>
      </c>
      <c r="F5" s="246">
        <v>2</v>
      </c>
      <c r="G5" s="245">
        <v>64</v>
      </c>
      <c r="H5" s="245" t="s">
        <v>336</v>
      </c>
      <c r="I5" s="513" t="s">
        <v>443</v>
      </c>
      <c r="J5" s="645" t="s">
        <v>445</v>
      </c>
      <c r="N5" s="512">
        <v>576</v>
      </c>
      <c r="O5" s="245">
        <v>18</v>
      </c>
      <c r="P5" s="245">
        <v>144</v>
      </c>
      <c r="Q5" s="245">
        <v>144</v>
      </c>
      <c r="R5" s="245">
        <v>16</v>
      </c>
      <c r="S5" s="245" t="s">
        <v>443</v>
      </c>
      <c r="T5" s="249" t="s">
        <v>452</v>
      </c>
    </row>
    <row r="6" spans="1:20" x14ac:dyDescent="0.25">
      <c r="A6" s="250">
        <v>64</v>
      </c>
      <c r="B6" s="245" t="s">
        <v>337</v>
      </c>
      <c r="C6" s="245">
        <v>2</v>
      </c>
      <c r="D6" s="245"/>
      <c r="E6" s="245">
        <v>64</v>
      </c>
      <c r="F6" s="246">
        <v>2</v>
      </c>
      <c r="G6" s="245">
        <v>64</v>
      </c>
      <c r="H6" s="245" t="s">
        <v>336</v>
      </c>
      <c r="I6" s="513" t="s">
        <v>443</v>
      </c>
      <c r="J6" s="645" t="s">
        <v>445</v>
      </c>
      <c r="N6" s="512">
        <v>864</v>
      </c>
      <c r="O6" s="245">
        <v>28</v>
      </c>
      <c r="P6" s="245">
        <v>144</v>
      </c>
      <c r="Q6" s="245">
        <v>144</v>
      </c>
      <c r="R6" s="245">
        <v>26</v>
      </c>
      <c r="S6" s="245" t="s">
        <v>443</v>
      </c>
      <c r="T6" s="249" t="s">
        <v>452</v>
      </c>
    </row>
    <row r="7" spans="1:20" x14ac:dyDescent="0.25">
      <c r="A7" s="250">
        <v>72</v>
      </c>
      <c r="B7" s="245" t="s">
        <v>335</v>
      </c>
      <c r="C7" s="247">
        <v>5</v>
      </c>
      <c r="D7" s="247"/>
      <c r="E7" s="247">
        <v>3</v>
      </c>
      <c r="F7" s="248">
        <v>4</v>
      </c>
      <c r="G7" s="246">
        <v>72</v>
      </c>
      <c r="H7" s="503" t="s">
        <v>338</v>
      </c>
      <c r="I7" s="513" t="s">
        <v>443</v>
      </c>
      <c r="J7" s="645" t="s">
        <v>446</v>
      </c>
      <c r="N7" s="514">
        <v>288</v>
      </c>
      <c r="O7" s="506" t="s">
        <v>339</v>
      </c>
      <c r="P7" s="506" t="s">
        <v>340</v>
      </c>
      <c r="Q7" s="506" t="s">
        <v>341</v>
      </c>
      <c r="R7" s="245">
        <v>12</v>
      </c>
      <c r="S7" s="245" t="s">
        <v>447</v>
      </c>
      <c r="T7" s="249" t="s">
        <v>446</v>
      </c>
    </row>
    <row r="8" spans="1:20" x14ac:dyDescent="0.25">
      <c r="A8" s="250">
        <v>96</v>
      </c>
      <c r="B8" s="245" t="s">
        <v>335</v>
      </c>
      <c r="C8" s="247" t="s">
        <v>342</v>
      </c>
      <c r="D8" s="247" t="s">
        <v>341</v>
      </c>
      <c r="E8" s="247" t="s">
        <v>340</v>
      </c>
      <c r="F8" s="248">
        <v>6</v>
      </c>
      <c r="G8" s="246">
        <v>96</v>
      </c>
      <c r="H8" s="503" t="s">
        <v>336</v>
      </c>
      <c r="I8" s="513" t="s">
        <v>443</v>
      </c>
      <c r="J8" s="645" t="s">
        <v>445</v>
      </c>
      <c r="N8" s="514">
        <v>432</v>
      </c>
      <c r="O8" s="506" t="s">
        <v>339</v>
      </c>
      <c r="P8" s="506" t="s">
        <v>341</v>
      </c>
      <c r="Q8" s="506" t="s">
        <v>341</v>
      </c>
      <c r="R8" s="245">
        <v>12</v>
      </c>
      <c r="S8" s="245" t="s">
        <v>447</v>
      </c>
      <c r="T8" s="249" t="s">
        <v>446</v>
      </c>
    </row>
    <row r="9" spans="1:20" x14ac:dyDescent="0.25">
      <c r="A9" s="250">
        <v>96</v>
      </c>
      <c r="B9" s="245" t="s">
        <v>4</v>
      </c>
      <c r="C9" s="247" t="s">
        <v>342</v>
      </c>
      <c r="D9" s="247" t="s">
        <v>341</v>
      </c>
      <c r="E9" s="247" t="s">
        <v>340</v>
      </c>
      <c r="F9" s="248">
        <v>6</v>
      </c>
      <c r="G9" s="246">
        <v>96</v>
      </c>
      <c r="H9" s="503" t="s">
        <v>336</v>
      </c>
      <c r="I9" s="513" t="s">
        <v>443</v>
      </c>
      <c r="J9" s="645" t="s">
        <v>445</v>
      </c>
      <c r="N9" s="514">
        <v>576</v>
      </c>
      <c r="O9" s="506" t="s">
        <v>343</v>
      </c>
      <c r="P9" s="506" t="s">
        <v>344</v>
      </c>
      <c r="Q9" s="506" t="s">
        <v>345</v>
      </c>
      <c r="R9" s="245">
        <v>26</v>
      </c>
      <c r="S9" s="245" t="s">
        <v>447</v>
      </c>
      <c r="T9" s="249" t="s">
        <v>446</v>
      </c>
    </row>
    <row r="10" spans="1:20" x14ac:dyDescent="0.25">
      <c r="A10" s="250">
        <v>144</v>
      </c>
      <c r="B10" s="245" t="s">
        <v>335</v>
      </c>
      <c r="C10" s="247">
        <v>5</v>
      </c>
      <c r="D10" s="247"/>
      <c r="E10" s="247">
        <v>4</v>
      </c>
      <c r="F10" s="248">
        <v>4</v>
      </c>
      <c r="G10" s="246">
        <v>144</v>
      </c>
      <c r="H10" s="503" t="s">
        <v>338</v>
      </c>
      <c r="I10" s="513" t="s">
        <v>443</v>
      </c>
      <c r="J10" s="645" t="s">
        <v>446</v>
      </c>
      <c r="N10" s="514">
        <v>864</v>
      </c>
      <c r="O10" s="506" t="s">
        <v>343</v>
      </c>
      <c r="P10" s="506" t="s">
        <v>344</v>
      </c>
      <c r="Q10" s="506" t="s">
        <v>344</v>
      </c>
      <c r="R10" s="245">
        <v>26</v>
      </c>
      <c r="S10" s="245" t="s">
        <v>447</v>
      </c>
      <c r="T10" s="249" t="s">
        <v>446</v>
      </c>
    </row>
    <row r="11" spans="1:20" ht="15.75" thickBot="1" x14ac:dyDescent="0.3">
      <c r="A11" s="250">
        <v>144</v>
      </c>
      <c r="B11" s="245" t="s">
        <v>335</v>
      </c>
      <c r="C11" s="247" t="s">
        <v>346</v>
      </c>
      <c r="D11" s="247" t="s">
        <v>340</v>
      </c>
      <c r="E11" s="247" t="s">
        <v>347</v>
      </c>
      <c r="F11" s="248">
        <v>16</v>
      </c>
      <c r="G11" s="246">
        <v>144</v>
      </c>
      <c r="H11" s="503" t="s">
        <v>336</v>
      </c>
      <c r="I11" s="513" t="s">
        <v>443</v>
      </c>
      <c r="J11" s="645" t="s">
        <v>445</v>
      </c>
      <c r="N11" s="145" t="s">
        <v>348</v>
      </c>
      <c r="O11" s="253"/>
      <c r="P11" s="253"/>
      <c r="Q11" s="253"/>
      <c r="R11" s="253"/>
      <c r="S11" s="253"/>
      <c r="T11" s="254"/>
    </row>
    <row r="12" spans="1:20" x14ac:dyDescent="0.25">
      <c r="A12" s="250">
        <v>144</v>
      </c>
      <c r="B12" s="245" t="s">
        <v>6</v>
      </c>
      <c r="C12" s="247" t="s">
        <v>346</v>
      </c>
      <c r="D12" s="247" t="s">
        <v>340</v>
      </c>
      <c r="E12" s="247" t="s">
        <v>347</v>
      </c>
      <c r="F12" s="248">
        <v>16</v>
      </c>
      <c r="G12" s="246">
        <v>144</v>
      </c>
      <c r="H12" s="503" t="s">
        <v>336</v>
      </c>
      <c r="I12" s="513" t="s">
        <v>443</v>
      </c>
      <c r="J12" s="645" t="s">
        <v>455</v>
      </c>
    </row>
    <row r="13" spans="1:20" x14ac:dyDescent="0.25">
      <c r="A13" s="250">
        <v>144</v>
      </c>
      <c r="B13" s="245" t="s">
        <v>4</v>
      </c>
      <c r="C13" s="247" t="s">
        <v>346</v>
      </c>
      <c r="D13" s="247" t="s">
        <v>340</v>
      </c>
      <c r="E13" s="247" t="s">
        <v>347</v>
      </c>
      <c r="F13" s="248">
        <v>16</v>
      </c>
      <c r="G13" s="246">
        <v>144</v>
      </c>
      <c r="H13" s="503" t="s">
        <v>336</v>
      </c>
      <c r="I13" s="513" t="s">
        <v>443</v>
      </c>
      <c r="J13" s="645" t="s">
        <v>455</v>
      </c>
    </row>
    <row r="14" spans="1:20" x14ac:dyDescent="0.25">
      <c r="A14" s="250">
        <v>288</v>
      </c>
      <c r="B14" s="245" t="s">
        <v>335</v>
      </c>
      <c r="C14" s="247">
        <v>9</v>
      </c>
      <c r="D14" s="247"/>
      <c r="E14" s="247">
        <v>15</v>
      </c>
      <c r="F14" s="248">
        <v>8</v>
      </c>
      <c r="G14" s="246">
        <v>288</v>
      </c>
      <c r="H14" s="503" t="s">
        <v>338</v>
      </c>
      <c r="I14" s="513" t="s">
        <v>443</v>
      </c>
      <c r="J14" s="645" t="s">
        <v>446</v>
      </c>
    </row>
    <row r="15" spans="1:20" x14ac:dyDescent="0.25">
      <c r="A15" s="250">
        <v>288</v>
      </c>
      <c r="B15" s="245" t="s">
        <v>337</v>
      </c>
      <c r="C15" s="247">
        <v>18</v>
      </c>
      <c r="D15" s="247"/>
      <c r="E15" s="247" t="s">
        <v>341</v>
      </c>
      <c r="F15" s="248">
        <v>16</v>
      </c>
      <c r="G15" s="246">
        <v>288</v>
      </c>
      <c r="H15" s="503" t="s">
        <v>336</v>
      </c>
      <c r="I15" s="513" t="s">
        <v>443</v>
      </c>
      <c r="J15" s="645" t="s">
        <v>445</v>
      </c>
    </row>
    <row r="16" spans="1:20" x14ac:dyDescent="0.25">
      <c r="A16" s="250">
        <v>288</v>
      </c>
      <c r="B16" s="245" t="s">
        <v>6</v>
      </c>
      <c r="C16" s="247" t="s">
        <v>340</v>
      </c>
      <c r="D16" s="247" t="s">
        <v>349</v>
      </c>
      <c r="E16" s="247" t="s">
        <v>341</v>
      </c>
      <c r="F16" s="248">
        <v>22</v>
      </c>
      <c r="G16" s="246">
        <v>288</v>
      </c>
      <c r="H16" s="503" t="s">
        <v>336</v>
      </c>
      <c r="I16" s="513" t="s">
        <v>443</v>
      </c>
      <c r="J16" s="645" t="s">
        <v>455</v>
      </c>
    </row>
    <row r="17" spans="1:10" ht="14.25" customHeight="1" x14ac:dyDescent="0.25">
      <c r="A17" s="250">
        <v>288</v>
      </c>
      <c r="B17" s="245" t="s">
        <v>4</v>
      </c>
      <c r="C17" s="247" t="s">
        <v>340</v>
      </c>
      <c r="D17" s="247" t="s">
        <v>349</v>
      </c>
      <c r="E17" s="247" t="s">
        <v>341</v>
      </c>
      <c r="F17" s="248">
        <v>22</v>
      </c>
      <c r="G17" s="246">
        <v>288</v>
      </c>
      <c r="H17" s="503" t="s">
        <v>336</v>
      </c>
      <c r="I17" s="513" t="s">
        <v>443</v>
      </c>
      <c r="J17" s="645" t="s">
        <v>455</v>
      </c>
    </row>
    <row r="18" spans="1:10" x14ac:dyDescent="0.25">
      <c r="A18" s="250">
        <v>432</v>
      </c>
      <c r="B18" s="245" t="s">
        <v>335</v>
      </c>
      <c r="C18" s="247">
        <v>14</v>
      </c>
      <c r="D18" s="247"/>
      <c r="E18" s="247">
        <v>10</v>
      </c>
      <c r="F18" s="248">
        <v>12</v>
      </c>
      <c r="G18" s="246">
        <v>432</v>
      </c>
      <c r="H18" s="503" t="s">
        <v>338</v>
      </c>
      <c r="I18" s="513" t="s">
        <v>443</v>
      </c>
      <c r="J18" s="645" t="s">
        <v>446</v>
      </c>
    </row>
    <row r="19" spans="1:10" x14ac:dyDescent="0.25">
      <c r="A19" s="250">
        <v>432</v>
      </c>
      <c r="B19" s="245" t="s">
        <v>337</v>
      </c>
      <c r="C19" s="247">
        <v>22</v>
      </c>
      <c r="D19" s="247"/>
      <c r="E19" s="247">
        <v>36</v>
      </c>
      <c r="F19" s="248">
        <v>20</v>
      </c>
      <c r="G19" s="246">
        <v>432</v>
      </c>
      <c r="H19" s="503" t="s">
        <v>336</v>
      </c>
      <c r="I19" s="513" t="s">
        <v>443</v>
      </c>
      <c r="J19" s="645" t="s">
        <v>445</v>
      </c>
    </row>
    <row r="20" spans="1:10" x14ac:dyDescent="0.25">
      <c r="A20" s="250">
        <v>432</v>
      </c>
      <c r="B20" s="245" t="s">
        <v>6</v>
      </c>
      <c r="C20" s="247">
        <v>28</v>
      </c>
      <c r="D20" s="247">
        <v>96</v>
      </c>
      <c r="E20" s="247">
        <v>70</v>
      </c>
      <c r="F20" s="248">
        <v>26</v>
      </c>
      <c r="G20" s="246">
        <v>432</v>
      </c>
      <c r="H20" s="503" t="s">
        <v>336</v>
      </c>
      <c r="I20" s="513" t="s">
        <v>443</v>
      </c>
      <c r="J20" s="645" t="s">
        <v>455</v>
      </c>
    </row>
    <row r="21" spans="1:10" x14ac:dyDescent="0.25">
      <c r="A21" s="250">
        <v>432</v>
      </c>
      <c r="B21" s="245" t="s">
        <v>6</v>
      </c>
      <c r="C21" s="247" t="s">
        <v>350</v>
      </c>
      <c r="D21" s="247" t="s">
        <v>351</v>
      </c>
      <c r="E21" s="247" t="s">
        <v>352</v>
      </c>
      <c r="F21" s="248">
        <v>28</v>
      </c>
      <c r="G21" s="246">
        <v>432</v>
      </c>
      <c r="H21" s="503" t="s">
        <v>336</v>
      </c>
      <c r="I21" s="513" t="s">
        <v>443</v>
      </c>
      <c r="J21" s="645" t="s">
        <v>445</v>
      </c>
    </row>
    <row r="22" spans="1:10" x14ac:dyDescent="0.25">
      <c r="A22" s="250">
        <v>432</v>
      </c>
      <c r="B22" s="245" t="s">
        <v>4</v>
      </c>
      <c r="C22" s="247" t="s">
        <v>350</v>
      </c>
      <c r="D22" s="247" t="s">
        <v>353</v>
      </c>
      <c r="E22" s="247" t="s">
        <v>341</v>
      </c>
      <c r="F22" s="248">
        <v>28</v>
      </c>
      <c r="G22" s="246">
        <v>432</v>
      </c>
      <c r="H22" s="503" t="s">
        <v>336</v>
      </c>
      <c r="I22" s="513" t="s">
        <v>443</v>
      </c>
      <c r="J22" s="645" t="s">
        <v>455</v>
      </c>
    </row>
    <row r="23" spans="1:10" x14ac:dyDescent="0.25">
      <c r="A23" s="250">
        <v>576</v>
      </c>
      <c r="B23" s="245" t="s">
        <v>337</v>
      </c>
      <c r="C23" s="247">
        <v>18</v>
      </c>
      <c r="D23" s="247"/>
      <c r="E23" s="247">
        <v>54</v>
      </c>
      <c r="F23" s="248">
        <v>16</v>
      </c>
      <c r="G23" s="246">
        <v>576</v>
      </c>
      <c r="H23" s="503" t="s">
        <v>338</v>
      </c>
      <c r="I23" s="513" t="s">
        <v>443</v>
      </c>
      <c r="J23" s="645" t="s">
        <v>446</v>
      </c>
    </row>
    <row r="24" spans="1:10" x14ac:dyDescent="0.25">
      <c r="A24" s="250">
        <v>576</v>
      </c>
      <c r="B24" s="245" t="s">
        <v>337</v>
      </c>
      <c r="C24" s="247">
        <v>44</v>
      </c>
      <c r="D24" s="247"/>
      <c r="E24" s="247">
        <v>36</v>
      </c>
      <c r="F24" s="248">
        <v>42</v>
      </c>
      <c r="G24" s="246">
        <v>576</v>
      </c>
      <c r="H24" s="503" t="s">
        <v>336</v>
      </c>
      <c r="I24" s="513" t="s">
        <v>443</v>
      </c>
      <c r="J24" s="645" t="s">
        <v>445</v>
      </c>
    </row>
    <row r="25" spans="1:10" x14ac:dyDescent="0.25">
      <c r="A25" s="250">
        <v>576</v>
      </c>
      <c r="B25" s="245" t="s">
        <v>4</v>
      </c>
      <c r="C25" s="247" t="s">
        <v>350</v>
      </c>
      <c r="D25" s="247" t="s">
        <v>354</v>
      </c>
      <c r="E25" s="247" t="s">
        <v>341</v>
      </c>
      <c r="F25" s="248">
        <v>28</v>
      </c>
      <c r="G25" s="246">
        <v>576</v>
      </c>
      <c r="H25" s="503" t="s">
        <v>336</v>
      </c>
      <c r="I25" s="513" t="s">
        <v>443</v>
      </c>
      <c r="J25" s="645" t="s">
        <v>455</v>
      </c>
    </row>
    <row r="26" spans="1:10" x14ac:dyDescent="0.25">
      <c r="A26" s="250">
        <v>576</v>
      </c>
      <c r="B26" s="245" t="s">
        <v>4</v>
      </c>
      <c r="C26" s="247">
        <v>28</v>
      </c>
      <c r="D26" s="247" t="s">
        <v>354</v>
      </c>
      <c r="E26" s="247">
        <v>60</v>
      </c>
      <c r="F26" s="248">
        <v>26</v>
      </c>
      <c r="G26" s="246">
        <v>576</v>
      </c>
      <c r="H26" s="503" t="s">
        <v>336</v>
      </c>
      <c r="I26" s="513" t="s">
        <v>443</v>
      </c>
      <c r="J26" s="645" t="s">
        <v>448</v>
      </c>
    </row>
    <row r="27" spans="1:10" x14ac:dyDescent="0.25">
      <c r="A27" s="250">
        <v>576</v>
      </c>
      <c r="B27" s="245" t="s">
        <v>6</v>
      </c>
      <c r="C27" s="247">
        <v>28</v>
      </c>
      <c r="D27" s="247"/>
      <c r="E27" s="247">
        <v>96</v>
      </c>
      <c r="F27" s="248">
        <v>26</v>
      </c>
      <c r="G27" s="246">
        <v>576</v>
      </c>
      <c r="H27" s="503" t="s">
        <v>336</v>
      </c>
      <c r="I27" s="513" t="s">
        <v>443</v>
      </c>
      <c r="J27" s="645" t="s">
        <v>448</v>
      </c>
    </row>
    <row r="28" spans="1:10" x14ac:dyDescent="0.25">
      <c r="A28" s="250">
        <v>864</v>
      </c>
      <c r="B28" s="245" t="s">
        <v>337</v>
      </c>
      <c r="C28" s="247">
        <v>28</v>
      </c>
      <c r="D28" s="247"/>
      <c r="E28" s="247">
        <v>100</v>
      </c>
      <c r="F28" s="248">
        <v>26</v>
      </c>
      <c r="G28" s="246">
        <v>864</v>
      </c>
      <c r="H28" s="503" t="s">
        <v>338</v>
      </c>
      <c r="I28" s="513" t="s">
        <v>443</v>
      </c>
      <c r="J28" s="645" t="s">
        <v>446</v>
      </c>
    </row>
    <row r="29" spans="1:10" x14ac:dyDescent="0.25">
      <c r="A29" s="250">
        <v>864</v>
      </c>
      <c r="B29" s="245" t="s">
        <v>337</v>
      </c>
      <c r="C29" s="247">
        <v>44</v>
      </c>
      <c r="D29" s="247"/>
      <c r="E29" s="247">
        <v>36</v>
      </c>
      <c r="F29" s="248">
        <v>42</v>
      </c>
      <c r="G29" s="246">
        <v>864</v>
      </c>
      <c r="H29" s="503" t="s">
        <v>336</v>
      </c>
      <c r="I29" s="513" t="s">
        <v>443</v>
      </c>
      <c r="J29" s="645" t="s">
        <v>445</v>
      </c>
    </row>
    <row r="30" spans="1:10" x14ac:dyDescent="0.25">
      <c r="A30" s="250">
        <v>864</v>
      </c>
      <c r="B30" s="245" t="s">
        <v>6</v>
      </c>
      <c r="C30" s="247">
        <v>28</v>
      </c>
      <c r="D30" s="247" t="s">
        <v>355</v>
      </c>
      <c r="E30" s="247" t="s">
        <v>356</v>
      </c>
      <c r="F30" s="248">
        <v>26</v>
      </c>
      <c r="G30" s="246">
        <v>864</v>
      </c>
      <c r="H30" s="503" t="s">
        <v>336</v>
      </c>
      <c r="I30" s="513" t="s">
        <v>443</v>
      </c>
      <c r="J30" s="645" t="s">
        <v>455</v>
      </c>
    </row>
    <row r="31" spans="1:10" x14ac:dyDescent="0.25">
      <c r="A31" s="250">
        <v>864</v>
      </c>
      <c r="B31" s="245" t="s">
        <v>6</v>
      </c>
      <c r="C31" s="247">
        <v>48</v>
      </c>
      <c r="D31" s="247" t="s">
        <v>355</v>
      </c>
      <c r="E31" s="247" t="s">
        <v>356</v>
      </c>
      <c r="F31" s="248">
        <v>46</v>
      </c>
      <c r="G31" s="246">
        <v>864</v>
      </c>
      <c r="H31" s="503" t="s">
        <v>336</v>
      </c>
      <c r="I31" s="513" t="s">
        <v>443</v>
      </c>
      <c r="J31" s="645" t="s">
        <v>445</v>
      </c>
    </row>
    <row r="32" spans="1:10" x14ac:dyDescent="0.25">
      <c r="A32" s="250">
        <v>32</v>
      </c>
      <c r="B32" s="245" t="s">
        <v>335</v>
      </c>
      <c r="C32" s="247">
        <v>2</v>
      </c>
      <c r="D32" s="247"/>
      <c r="E32" s="247">
        <v>22</v>
      </c>
      <c r="F32" s="248">
        <v>2</v>
      </c>
      <c r="G32" s="246">
        <v>64</v>
      </c>
      <c r="H32" s="246" t="s">
        <v>336</v>
      </c>
      <c r="I32" s="513" t="s">
        <v>447</v>
      </c>
      <c r="J32" s="645" t="s">
        <v>454</v>
      </c>
    </row>
    <row r="33" spans="1:10" x14ac:dyDescent="0.25">
      <c r="A33" s="250">
        <v>32</v>
      </c>
      <c r="B33" s="245" t="s">
        <v>335</v>
      </c>
      <c r="C33" s="245">
        <v>2</v>
      </c>
      <c r="D33" s="245"/>
      <c r="E33" s="245">
        <v>32</v>
      </c>
      <c r="F33" s="246">
        <v>2</v>
      </c>
      <c r="G33" s="245">
        <v>64</v>
      </c>
      <c r="H33" s="245" t="s">
        <v>336</v>
      </c>
      <c r="I33" s="513" t="s">
        <v>447</v>
      </c>
      <c r="J33" s="645" t="s">
        <v>446</v>
      </c>
    </row>
    <row r="34" spans="1:10" x14ac:dyDescent="0.25">
      <c r="A34" s="250">
        <v>32</v>
      </c>
      <c r="B34" s="245" t="s">
        <v>337</v>
      </c>
      <c r="C34" s="245">
        <v>2</v>
      </c>
      <c r="D34" s="245"/>
      <c r="E34" s="245">
        <v>32</v>
      </c>
      <c r="F34" s="246">
        <v>2</v>
      </c>
      <c r="G34" s="245">
        <v>64</v>
      </c>
      <c r="H34" s="245" t="s">
        <v>336</v>
      </c>
      <c r="I34" s="513" t="s">
        <v>447</v>
      </c>
      <c r="J34" s="645" t="s">
        <v>446</v>
      </c>
    </row>
    <row r="35" spans="1:10" x14ac:dyDescent="0.25">
      <c r="A35" s="250">
        <v>64</v>
      </c>
      <c r="B35" s="245" t="s">
        <v>335</v>
      </c>
      <c r="C35" s="245">
        <v>2</v>
      </c>
      <c r="D35" s="245"/>
      <c r="E35" s="245">
        <v>23</v>
      </c>
      <c r="F35" s="246">
        <v>2</v>
      </c>
      <c r="G35" s="245">
        <v>64</v>
      </c>
      <c r="H35" s="245" t="s">
        <v>336</v>
      </c>
      <c r="I35" s="513" t="s">
        <v>447</v>
      </c>
      <c r="J35" s="645" t="s">
        <v>454</v>
      </c>
    </row>
    <row r="36" spans="1:10" x14ac:dyDescent="0.25">
      <c r="A36" s="250">
        <v>64</v>
      </c>
      <c r="B36" s="245" t="s">
        <v>335</v>
      </c>
      <c r="C36" s="245">
        <v>2</v>
      </c>
      <c r="D36" s="245"/>
      <c r="E36" s="245">
        <v>32</v>
      </c>
      <c r="F36" s="246">
        <v>2</v>
      </c>
      <c r="G36" s="245">
        <v>64</v>
      </c>
      <c r="H36" s="245" t="s">
        <v>336</v>
      </c>
      <c r="I36" s="513" t="s">
        <v>447</v>
      </c>
      <c r="J36" s="645" t="s">
        <v>446</v>
      </c>
    </row>
    <row r="37" spans="1:10" x14ac:dyDescent="0.25">
      <c r="A37" s="250">
        <v>64</v>
      </c>
      <c r="B37" s="245" t="s">
        <v>337</v>
      </c>
      <c r="C37" s="245">
        <v>2</v>
      </c>
      <c r="D37" s="245"/>
      <c r="E37" s="245">
        <v>32</v>
      </c>
      <c r="F37" s="246">
        <v>2</v>
      </c>
      <c r="G37" s="245">
        <v>64</v>
      </c>
      <c r="H37" s="245" t="s">
        <v>336</v>
      </c>
      <c r="I37" s="513" t="s">
        <v>447</v>
      </c>
      <c r="J37" s="645" t="s">
        <v>446</v>
      </c>
    </row>
    <row r="38" spans="1:10" x14ac:dyDescent="0.25">
      <c r="A38" s="505">
        <v>72</v>
      </c>
      <c r="B38" s="506" t="s">
        <v>335</v>
      </c>
      <c r="C38" s="507" t="s">
        <v>357</v>
      </c>
      <c r="D38" s="507" t="s">
        <v>358</v>
      </c>
      <c r="E38" s="507" t="s">
        <v>359</v>
      </c>
      <c r="F38" s="508">
        <v>4</v>
      </c>
      <c r="G38" s="509">
        <v>72</v>
      </c>
      <c r="H38" s="510" t="s">
        <v>338</v>
      </c>
      <c r="I38" s="513" t="s">
        <v>447</v>
      </c>
      <c r="J38" s="645" t="s">
        <v>446</v>
      </c>
    </row>
    <row r="39" spans="1:10" x14ac:dyDescent="0.25">
      <c r="A39" s="505">
        <v>144</v>
      </c>
      <c r="B39" s="506" t="s">
        <v>335</v>
      </c>
      <c r="C39" s="507" t="s">
        <v>357</v>
      </c>
      <c r="D39" s="507" t="s">
        <v>358</v>
      </c>
      <c r="E39" s="507" t="s">
        <v>360</v>
      </c>
      <c r="F39" s="508">
        <v>4</v>
      </c>
      <c r="G39" s="509">
        <v>144</v>
      </c>
      <c r="H39" s="510" t="s">
        <v>336</v>
      </c>
      <c r="I39" s="513" t="s">
        <v>447</v>
      </c>
      <c r="J39" s="645" t="s">
        <v>446</v>
      </c>
    </row>
    <row r="40" spans="1:10" x14ac:dyDescent="0.25">
      <c r="A40" s="505">
        <v>144</v>
      </c>
      <c r="B40" s="506" t="s">
        <v>335</v>
      </c>
      <c r="C40" s="507" t="s">
        <v>357</v>
      </c>
      <c r="D40" s="507" t="s">
        <v>358</v>
      </c>
      <c r="E40" s="507" t="s">
        <v>359</v>
      </c>
      <c r="F40" s="508">
        <v>4</v>
      </c>
      <c r="G40" s="509">
        <v>144</v>
      </c>
      <c r="H40" s="510" t="s">
        <v>338</v>
      </c>
      <c r="I40" s="513" t="s">
        <v>447</v>
      </c>
      <c r="J40" s="645" t="s">
        <v>446</v>
      </c>
    </row>
    <row r="41" spans="1:10" x14ac:dyDescent="0.25">
      <c r="A41" s="505">
        <v>144</v>
      </c>
      <c r="B41" s="506" t="s">
        <v>4</v>
      </c>
      <c r="C41" s="507">
        <v>5</v>
      </c>
      <c r="D41" s="507" t="s">
        <v>453</v>
      </c>
      <c r="E41" s="507">
        <v>24</v>
      </c>
      <c r="F41" s="508">
        <v>3</v>
      </c>
      <c r="G41" s="509">
        <v>144</v>
      </c>
      <c r="H41" s="510" t="s">
        <v>336</v>
      </c>
      <c r="I41" s="513" t="s">
        <v>447</v>
      </c>
      <c r="J41" s="645" t="s">
        <v>446</v>
      </c>
    </row>
    <row r="42" spans="1:10" x14ac:dyDescent="0.25">
      <c r="A42" s="505">
        <v>144</v>
      </c>
      <c r="B42" s="506" t="s">
        <v>6</v>
      </c>
      <c r="C42" s="507">
        <v>5</v>
      </c>
      <c r="D42" s="507" t="s">
        <v>453</v>
      </c>
      <c r="E42" s="507">
        <v>24</v>
      </c>
      <c r="F42" s="508">
        <v>3</v>
      </c>
      <c r="G42" s="509">
        <v>144</v>
      </c>
      <c r="H42" s="510" t="s">
        <v>336</v>
      </c>
      <c r="I42" s="513" t="s">
        <v>447</v>
      </c>
      <c r="J42" s="645" t="s">
        <v>446</v>
      </c>
    </row>
    <row r="43" spans="1:10" x14ac:dyDescent="0.25">
      <c r="A43" s="505">
        <v>288</v>
      </c>
      <c r="B43" s="506" t="s">
        <v>4</v>
      </c>
      <c r="C43" s="507" t="s">
        <v>361</v>
      </c>
      <c r="D43" s="507" t="s">
        <v>388</v>
      </c>
      <c r="E43" s="507">
        <v>48</v>
      </c>
      <c r="F43" s="508">
        <v>7</v>
      </c>
      <c r="G43" s="509">
        <v>288</v>
      </c>
      <c r="H43" s="510" t="s">
        <v>336</v>
      </c>
      <c r="I43" s="513" t="s">
        <v>447</v>
      </c>
      <c r="J43" s="645" t="s">
        <v>446</v>
      </c>
    </row>
    <row r="44" spans="1:10" x14ac:dyDescent="0.25">
      <c r="A44" s="505">
        <v>288</v>
      </c>
      <c r="B44" s="506" t="s">
        <v>6</v>
      </c>
      <c r="C44" s="507" t="s">
        <v>361</v>
      </c>
      <c r="D44" s="507" t="s">
        <v>388</v>
      </c>
      <c r="E44" s="507">
        <v>48</v>
      </c>
      <c r="F44" s="508">
        <v>7</v>
      </c>
      <c r="G44" s="509">
        <v>288</v>
      </c>
      <c r="H44" s="510" t="s">
        <v>336</v>
      </c>
      <c r="I44" s="513" t="s">
        <v>447</v>
      </c>
      <c r="J44" s="645" t="s">
        <v>446</v>
      </c>
    </row>
    <row r="45" spans="1:10" x14ac:dyDescent="0.25">
      <c r="A45" s="505">
        <v>288</v>
      </c>
      <c r="B45" s="506" t="s">
        <v>335</v>
      </c>
      <c r="C45" s="507" t="s">
        <v>361</v>
      </c>
      <c r="D45" s="507" t="s">
        <v>358</v>
      </c>
      <c r="E45" s="507" t="s">
        <v>360</v>
      </c>
      <c r="F45" s="508">
        <v>7</v>
      </c>
      <c r="G45" s="509">
        <v>288</v>
      </c>
      <c r="H45" s="510" t="s">
        <v>336</v>
      </c>
      <c r="I45" s="513" t="s">
        <v>447</v>
      </c>
      <c r="J45" s="645" t="s">
        <v>446</v>
      </c>
    </row>
    <row r="46" spans="1:10" x14ac:dyDescent="0.25">
      <c r="A46" s="505">
        <v>288</v>
      </c>
      <c r="B46" s="506" t="s">
        <v>335</v>
      </c>
      <c r="C46" s="507" t="s">
        <v>361</v>
      </c>
      <c r="D46" s="507" t="s">
        <v>358</v>
      </c>
      <c r="E46" s="507" t="s">
        <v>347</v>
      </c>
      <c r="F46" s="508">
        <v>8</v>
      </c>
      <c r="G46" s="509">
        <v>288</v>
      </c>
      <c r="H46" s="510" t="s">
        <v>338</v>
      </c>
      <c r="I46" s="513" t="s">
        <v>447</v>
      </c>
      <c r="J46" s="645" t="s">
        <v>446</v>
      </c>
    </row>
    <row r="47" spans="1:10" x14ac:dyDescent="0.25">
      <c r="A47" s="505">
        <v>432</v>
      </c>
      <c r="B47" s="506" t="s">
        <v>335</v>
      </c>
      <c r="C47" s="507" t="s">
        <v>339</v>
      </c>
      <c r="D47" s="507" t="s">
        <v>358</v>
      </c>
      <c r="E47" s="507" t="s">
        <v>362</v>
      </c>
      <c r="F47" s="508">
        <v>12</v>
      </c>
      <c r="G47" s="509">
        <v>432</v>
      </c>
      <c r="H47" s="510" t="s">
        <v>338</v>
      </c>
      <c r="I47" s="513" t="s">
        <v>447</v>
      </c>
      <c r="J47" s="645" t="s">
        <v>446</v>
      </c>
    </row>
    <row r="48" spans="1:10" x14ac:dyDescent="0.25">
      <c r="A48" s="505">
        <v>432</v>
      </c>
      <c r="B48" s="506" t="s">
        <v>4</v>
      </c>
      <c r="C48" s="507" t="s">
        <v>339</v>
      </c>
      <c r="D48" s="507" t="s">
        <v>389</v>
      </c>
      <c r="E48" s="507">
        <v>72</v>
      </c>
      <c r="F48" s="508">
        <v>12</v>
      </c>
      <c r="G48" s="509">
        <v>432</v>
      </c>
      <c r="H48" s="510" t="s">
        <v>336</v>
      </c>
      <c r="I48" s="513" t="s">
        <v>447</v>
      </c>
      <c r="J48" s="645" t="s">
        <v>446</v>
      </c>
    </row>
    <row r="49" spans="1:10" x14ac:dyDescent="0.25">
      <c r="A49" s="505">
        <v>432</v>
      </c>
      <c r="B49" s="506" t="s">
        <v>6</v>
      </c>
      <c r="C49" s="507" t="s">
        <v>339</v>
      </c>
      <c r="D49" s="507" t="s">
        <v>389</v>
      </c>
      <c r="E49" s="507">
        <v>72</v>
      </c>
      <c r="F49" s="508">
        <v>12</v>
      </c>
      <c r="G49" s="509">
        <v>432</v>
      </c>
      <c r="H49" s="510" t="s">
        <v>336</v>
      </c>
      <c r="I49" s="513" t="s">
        <v>447</v>
      </c>
      <c r="J49" s="645" t="s">
        <v>446</v>
      </c>
    </row>
    <row r="50" spans="1:10" x14ac:dyDescent="0.25">
      <c r="A50" s="505">
        <v>432</v>
      </c>
      <c r="B50" s="506" t="s">
        <v>335</v>
      </c>
      <c r="C50" s="507" t="s">
        <v>339</v>
      </c>
      <c r="D50" s="507" t="s">
        <v>358</v>
      </c>
      <c r="E50" s="507" t="s">
        <v>341</v>
      </c>
      <c r="F50" s="508">
        <v>12</v>
      </c>
      <c r="G50" s="509">
        <v>432</v>
      </c>
      <c r="H50" s="510" t="s">
        <v>336</v>
      </c>
      <c r="I50" s="513" t="s">
        <v>447</v>
      </c>
      <c r="J50" s="645" t="s">
        <v>446</v>
      </c>
    </row>
    <row r="51" spans="1:10" x14ac:dyDescent="0.25">
      <c r="A51" s="505">
        <v>576</v>
      </c>
      <c r="B51" s="506" t="s">
        <v>363</v>
      </c>
      <c r="C51" s="507" t="s">
        <v>346</v>
      </c>
      <c r="D51" s="507" t="s">
        <v>390</v>
      </c>
      <c r="E51" s="507">
        <v>144</v>
      </c>
      <c r="F51" s="508">
        <v>16</v>
      </c>
      <c r="G51" s="509">
        <v>576</v>
      </c>
      <c r="H51" s="510" t="s">
        <v>336</v>
      </c>
      <c r="I51" s="513" t="s">
        <v>447</v>
      </c>
      <c r="J51" s="645" t="s">
        <v>446</v>
      </c>
    </row>
    <row r="52" spans="1:10" x14ac:dyDescent="0.25">
      <c r="A52" s="505">
        <v>576</v>
      </c>
      <c r="B52" s="506" t="s">
        <v>4</v>
      </c>
      <c r="C52" s="507" t="s">
        <v>346</v>
      </c>
      <c r="D52" s="507" t="s">
        <v>353</v>
      </c>
      <c r="E52" s="507" t="s">
        <v>364</v>
      </c>
      <c r="F52" s="508">
        <v>16</v>
      </c>
      <c r="G52" s="509">
        <v>576</v>
      </c>
      <c r="H52" s="510" t="s">
        <v>336</v>
      </c>
      <c r="I52" s="513" t="s">
        <v>447</v>
      </c>
      <c r="J52" s="645" t="s">
        <v>446</v>
      </c>
    </row>
    <row r="53" spans="1:10" x14ac:dyDescent="0.25">
      <c r="A53" s="505">
        <v>576</v>
      </c>
      <c r="B53" s="506" t="s">
        <v>6</v>
      </c>
      <c r="C53" s="507" t="s">
        <v>346</v>
      </c>
      <c r="D53" s="507" t="s">
        <v>353</v>
      </c>
      <c r="E53" s="507" t="s">
        <v>364</v>
      </c>
      <c r="F53" s="508">
        <v>16</v>
      </c>
      <c r="G53" s="509">
        <v>576</v>
      </c>
      <c r="H53" s="510" t="s">
        <v>336</v>
      </c>
      <c r="I53" s="513" t="s">
        <v>447</v>
      </c>
      <c r="J53" s="645" t="s">
        <v>446</v>
      </c>
    </row>
    <row r="54" spans="1:10" x14ac:dyDescent="0.25">
      <c r="A54" s="505">
        <v>576</v>
      </c>
      <c r="B54" s="506" t="s">
        <v>337</v>
      </c>
      <c r="C54" s="507" t="s">
        <v>346</v>
      </c>
      <c r="D54" s="507" t="s">
        <v>358</v>
      </c>
      <c r="E54" s="507" t="s">
        <v>365</v>
      </c>
      <c r="F54" s="508">
        <v>14</v>
      </c>
      <c r="G54" s="509">
        <v>576</v>
      </c>
      <c r="H54" s="510" t="s">
        <v>338</v>
      </c>
      <c r="I54" s="513" t="s">
        <v>447</v>
      </c>
      <c r="J54" s="645" t="s">
        <v>446</v>
      </c>
    </row>
    <row r="55" spans="1:10" x14ac:dyDescent="0.25">
      <c r="A55" s="505">
        <v>576</v>
      </c>
      <c r="B55" s="506" t="s">
        <v>6</v>
      </c>
      <c r="C55" s="507" t="s">
        <v>346</v>
      </c>
      <c r="D55" s="507" t="s">
        <v>390</v>
      </c>
      <c r="E55" s="507">
        <v>144</v>
      </c>
      <c r="F55" s="508">
        <v>16</v>
      </c>
      <c r="G55" s="509">
        <v>576</v>
      </c>
      <c r="H55" s="510" t="s">
        <v>336</v>
      </c>
      <c r="I55" s="513" t="s">
        <v>447</v>
      </c>
      <c r="J55" s="645" t="s">
        <v>446</v>
      </c>
    </row>
    <row r="56" spans="1:10" x14ac:dyDescent="0.25">
      <c r="A56" s="505">
        <v>576</v>
      </c>
      <c r="B56" s="506" t="s">
        <v>337</v>
      </c>
      <c r="C56" s="507" t="s">
        <v>343</v>
      </c>
      <c r="D56" s="507" t="s">
        <v>358</v>
      </c>
      <c r="E56" s="507" t="s">
        <v>353</v>
      </c>
      <c r="F56" s="508">
        <v>26</v>
      </c>
      <c r="G56" s="509">
        <v>576</v>
      </c>
      <c r="H56" s="510" t="s">
        <v>336</v>
      </c>
      <c r="I56" s="513" t="s">
        <v>447</v>
      </c>
      <c r="J56" s="645" t="s">
        <v>446</v>
      </c>
    </row>
    <row r="57" spans="1:10" x14ac:dyDescent="0.25">
      <c r="A57" s="505">
        <v>864</v>
      </c>
      <c r="B57" s="506" t="s">
        <v>337</v>
      </c>
      <c r="C57" s="507" t="s">
        <v>343</v>
      </c>
      <c r="D57" s="507" t="s">
        <v>358</v>
      </c>
      <c r="E57" s="507" t="s">
        <v>366</v>
      </c>
      <c r="F57" s="508">
        <v>26</v>
      </c>
      <c r="G57" s="509">
        <v>864</v>
      </c>
      <c r="H57" s="510" t="s">
        <v>338</v>
      </c>
      <c r="I57" s="513" t="s">
        <v>447</v>
      </c>
      <c r="J57" s="645" t="s">
        <v>446</v>
      </c>
    </row>
    <row r="58" spans="1:10" x14ac:dyDescent="0.25">
      <c r="A58" s="505">
        <v>864</v>
      </c>
      <c r="B58" s="506" t="s">
        <v>6</v>
      </c>
      <c r="C58" s="507" t="s">
        <v>367</v>
      </c>
      <c r="D58" s="507" t="s">
        <v>390</v>
      </c>
      <c r="E58" s="507">
        <v>144</v>
      </c>
      <c r="F58" s="508">
        <v>25</v>
      </c>
      <c r="G58" s="509">
        <v>864</v>
      </c>
      <c r="H58" s="510" t="s">
        <v>336</v>
      </c>
      <c r="I58" s="513" t="s">
        <v>447</v>
      </c>
      <c r="J58" s="645" t="s">
        <v>446</v>
      </c>
    </row>
    <row r="59" spans="1:10" x14ac:dyDescent="0.25">
      <c r="A59" s="505">
        <v>864</v>
      </c>
      <c r="B59" s="506" t="s">
        <v>337</v>
      </c>
      <c r="C59" s="507" t="s">
        <v>343</v>
      </c>
      <c r="D59" s="507" t="s">
        <v>358</v>
      </c>
      <c r="E59" s="507" t="s">
        <v>353</v>
      </c>
      <c r="F59" s="508">
        <v>26</v>
      </c>
      <c r="G59" s="509">
        <v>864</v>
      </c>
      <c r="H59" s="510" t="s">
        <v>336</v>
      </c>
      <c r="I59" s="513" t="s">
        <v>447</v>
      </c>
      <c r="J59" s="645" t="s">
        <v>446</v>
      </c>
    </row>
    <row r="60" spans="1:10" ht="15.75" thickBot="1" x14ac:dyDescent="0.3">
      <c r="A60" s="251" t="s">
        <v>368</v>
      </c>
      <c r="B60" s="252" t="s">
        <v>368</v>
      </c>
      <c r="C60" s="253"/>
      <c r="D60" s="253"/>
      <c r="E60" s="253"/>
      <c r="F60" s="253"/>
      <c r="G60" s="253"/>
      <c r="H60" s="504"/>
      <c r="I60" s="643"/>
      <c r="J60" s="255"/>
    </row>
    <row r="61" spans="1:10" x14ac:dyDescent="0.25">
      <c r="A61"/>
      <c r="I61"/>
    </row>
    <row r="62" spans="1:10" x14ac:dyDescent="0.25">
      <c r="A62"/>
      <c r="I62"/>
    </row>
    <row r="63" spans="1:10" x14ac:dyDescent="0.25">
      <c r="A63"/>
      <c r="I63"/>
    </row>
    <row r="64" spans="1:10" x14ac:dyDescent="0.25">
      <c r="A64"/>
      <c r="I64"/>
    </row>
    <row r="65" spans="1:9" x14ac:dyDescent="0.25">
      <c r="A65"/>
      <c r="I65"/>
    </row>
  </sheetData>
  <sortState xmlns:xlrd2="http://schemas.microsoft.com/office/spreadsheetml/2017/richdata2" ref="A3:I29">
    <sortCondition ref="A3:A29"/>
    <sortCondition ref="C3:C29"/>
    <sortCondition ref="E3:E29"/>
  </sortState>
  <mergeCells count="2">
    <mergeCell ref="N1:T1"/>
    <mergeCell ref="A1:J1"/>
  </mergeCells>
  <pageMargins left="0.7" right="0.7" top="0.75" bottom="0.75" header="0.3" footer="0.3"/>
  <pageSetup scale="38"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URL xmlns="http://schemas.microsoft.com/sharepoint/v3">
      <Url xsi:nil="true"/>
      <Description xsi:nil="true"/>
    </URL>
    <TaxCatchAll xmlns="e5f39eeb-dc9c-40bf-a733-e74d7baf73b9" xsi:nil="true"/>
    <lcf76f155ced4ddcb4097134ff3c332f xmlns="00ea83b0-4aad-4cf0-b758-21c1932eaa1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9A9FF6B88B7BB34CB576A231C244BE07" ma:contentTypeVersion="28" ma:contentTypeDescription="Create a new document." ma:contentTypeScope="" ma:versionID="dd1dd069c6ca465fabf7e97de44b3fff">
  <xsd:schema xmlns:xsd="http://www.w3.org/2001/XMLSchema" xmlns:xs="http://www.w3.org/2001/XMLSchema" xmlns:p="http://schemas.microsoft.com/office/2006/metadata/properties" xmlns:ns1="http://schemas.microsoft.com/sharepoint/v3" xmlns:ns2="http://schemas.microsoft.com/sharepoint/v4" xmlns:ns3="bd92b681-cc90-49b7-8c16-75318f3bd6a4" xmlns:ns4="00ea83b0-4aad-4cf0-b758-21c1932eaa16" xmlns:ns5="e5f39eeb-dc9c-40bf-a733-e74d7baf73b9" targetNamespace="http://schemas.microsoft.com/office/2006/metadata/properties" ma:root="true" ma:fieldsID="73e0ad520217ca879f38e01f074e0d2b" ns1:_="" ns2:_="" ns3:_="" ns4:_="" ns5:_="">
    <xsd:import namespace="http://schemas.microsoft.com/sharepoint/v3"/>
    <xsd:import namespace="http://schemas.microsoft.com/sharepoint/v4"/>
    <xsd:import namespace="bd92b681-cc90-49b7-8c16-75318f3bd6a4"/>
    <xsd:import namespace="00ea83b0-4aad-4cf0-b758-21c1932eaa16"/>
    <xsd:import namespace="e5f39eeb-dc9c-40bf-a733-e74d7baf73b9"/>
    <xsd:element name="properties">
      <xsd:complexType>
        <xsd:sequence>
          <xsd:element name="documentManagement">
            <xsd:complexType>
              <xsd:all>
                <xsd:element ref="ns1:URL" minOccurs="0"/>
                <xsd:element ref="ns2:IconOverlay" minOccurs="0"/>
                <xsd:element ref="ns3:SharedWithUsers" minOccurs="0"/>
                <xsd:element ref="ns3:SharedWithDetails"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lcf76f155ced4ddcb4097134ff3c332f" minOccurs="0"/>
                <xsd:element ref="ns5:TaxCatchAll" minOccurs="0"/>
                <xsd:element ref="ns4:MediaServiceObjectDetectorVersion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URL" ma:index="8" nillable="true" ma:displayName="URL" ma:format="Hyperlink" ma:internalName="URL" ma:readOnly="false">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d92b681-cc90-49b7-8c16-75318f3bd6a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0ea83b0-4aad-4cf0-b758-21c1932eaa16" elementFormDefault="qualified">
    <xsd:import namespace="http://schemas.microsoft.com/office/2006/documentManagement/types"/>
    <xsd:import namespace="http://schemas.microsoft.com/office/infopath/2007/PartnerControls"/>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5f39eeb-dc9c-40bf-a733-e74d7baf73b9"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dd1b0ec3-8713-402b-a96a-f4c90a1bbade}" ma:internalName="TaxCatchAll" ma:showField="CatchAllData" ma:web="bd92b681-cc90-49b7-8c16-75318f3bd6a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71D4B85-B913-42B7-BAAA-57BD4C37A081}">
  <ds:schemaRefs>
    <ds:schemaRef ds:uri="00ea83b0-4aad-4cf0-b758-21c1932eaa16"/>
    <ds:schemaRef ds:uri="http://schemas.microsoft.com/sharepoint/v4"/>
    <ds:schemaRef ds:uri="http://schemas.microsoft.com/sharepoint/v3"/>
    <ds:schemaRef ds:uri="http://purl.org/dc/elements/1.1/"/>
    <ds:schemaRef ds:uri="bd92b681-cc90-49b7-8c16-75318f3bd6a4"/>
    <ds:schemaRef ds:uri="http://www.w3.org/XML/1998/namespace"/>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e5f39eeb-dc9c-40bf-a733-e74d7baf73b9"/>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C79F416A-3D51-4923-B66F-B7EAB3EE1B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http://schemas.microsoft.com/sharepoint/v4"/>
    <ds:schemaRef ds:uri="bd92b681-cc90-49b7-8c16-75318f3bd6a4"/>
    <ds:schemaRef ds:uri="00ea83b0-4aad-4cf0-b758-21c1932eaa16"/>
    <ds:schemaRef ds:uri="e5f39eeb-dc9c-40bf-a733-e74d7baf73b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FFF7E70-2960-44A2-A911-32B0A94E84A7}">
  <ds:schemaRefs>
    <ds:schemaRef ds:uri="http://schemas.microsoft.com/sharepoint/v3/contenttype/forms"/>
  </ds:schemaRefs>
</ds:datastoreItem>
</file>

<file path=docMetadata/LabelInfo.xml><?xml version="1.0" encoding="utf-8"?>
<clbl:labelList xmlns:clbl="http://schemas.microsoft.com/office/2020/mipLabelMetadata">
  <clbl:label id="{e741d71c-c6b6-47b0-803c-0f3b32b07556}" enabled="0" method="" siteId="{e741d71c-c6b6-47b0-803c-0f3b32b0755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External PFPs</vt:lpstr>
      <vt:lpstr>Instructions</vt:lpstr>
      <vt:lpstr>PFP Sizing Sheet</vt:lpstr>
      <vt:lpstr>QTC Costs</vt:lpstr>
      <vt:lpstr>Rest Trust Settings Instruction</vt:lpstr>
      <vt:lpstr>Version Info</vt:lpstr>
      <vt:lpstr>Optical Budget Diagram</vt:lpstr>
      <vt:lpstr>XGSPON Budget Calculator</vt:lpstr>
      <vt:lpstr>GPON Budget Calculator</vt:lpstr>
      <vt:lpstr>XGSPON Budget Calculator (old)</vt:lpstr>
      <vt:lpstr>GPON Budget Calculator (old)</vt:lpstr>
      <vt:lpstr>PFP Sizing Chart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SAPP, AUSTIN</dc:creator>
  <cp:keywords/>
  <dc:description/>
  <cp:lastModifiedBy>KHAN, SALMAN</cp:lastModifiedBy>
  <cp:revision/>
  <cp:lastPrinted>2024-06-11T11:48:47Z</cp:lastPrinted>
  <dcterms:created xsi:type="dcterms:W3CDTF">2018-12-11T13:15:16Z</dcterms:created>
  <dcterms:modified xsi:type="dcterms:W3CDTF">2024-11-13T18:14:04Z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0x0101009A9FF6B88B7BB34CB576A231C244BE07</vt:lpwstr>
  </property>
  <property fmtid="{D5CDD505-2E9C-101B-9397-08002B2CF9AE}" pid="3" name="Order">
    <vt:r8>115100</vt:r8>
  </property>
  <property fmtid="{D5CDD505-2E9C-101B-9397-08002B2CF9AE}" pid="4" name="MediaServiceImageTags">
    <vt:lpwstr/>
  </property>
</Properties>
</file>